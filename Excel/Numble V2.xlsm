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ul_\iCloudDrive\Work\AI\App Ideas\Numble\Excel\"/>
    </mc:Choice>
  </mc:AlternateContent>
  <xr:revisionPtr revIDLastSave="0" documentId="13_ncr:1_{36DFCD9F-3AB6-4434-9970-144A63D91F41}" xr6:coauthVersionLast="47" xr6:coauthVersionMax="47" xr10:uidLastSave="{00000000-0000-0000-0000-000000000000}"/>
  <bookViews>
    <workbookView xWindow="-108" yWindow="-108" windowWidth="27864" windowHeight="17928" xr2:uid="{49555D7E-061B-46B3-A068-91DD0976E241}"/>
  </bookViews>
  <sheets>
    <sheet name="Sheet1" sheetId="1" r:id="rId1"/>
    <sheet name="Numble V2" sheetId="2" r:id="rId2"/>
    <sheet name="Development Plan" sheetId="4" r:id="rId3"/>
    <sheet name="CoPilot Restart" sheetId="5" r:id="rId4"/>
  </sheets>
  <definedNames>
    <definedName name="_xleta.AND" hidden="1" xlm="1">#NAME?</definedName>
    <definedName name="_xleta.AVERAGE" hidden="1" xlm="1">#NAME?</definedName>
    <definedName name="_xleta.CELL" hidden="1" xlm="1">#NAME?</definedName>
    <definedName name="_xleta.DAY" hidden="1" xlm="1">#NAME?</definedName>
    <definedName name="_xleta.MATCH" hidden="1" xlm="1">#NAME?</definedName>
    <definedName name="_xleta.N" hidden="1" xlm="1">#NAME?</definedName>
    <definedName name="_xleta.NOW" hidden="1" xlm="1">#NAME?</definedName>
    <definedName name="_xleta.OR" hidden="1" xlm="1">#NAME?</definedName>
    <definedName name="_xleta.RATE" hidden="1" xlm="1">#NAME?</definedName>
    <definedName name="_xleta.SEQUENC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8" i="2" l="1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7" i="2"/>
  <c r="Y16" i="2"/>
  <c r="Y15" i="2"/>
  <c r="Y14" i="2"/>
  <c r="Y13" i="2"/>
  <c r="Y12" i="2"/>
  <c r="Y11" i="2"/>
  <c r="Y10" i="2"/>
  <c r="Y9" i="2"/>
  <c r="Y8" i="2"/>
  <c r="Y7" i="2"/>
  <c r="M27" i="1"/>
  <c r="L27" i="1"/>
  <c r="K27" i="1"/>
  <c r="J27" i="1"/>
  <c r="I27" i="1"/>
  <c r="M25" i="1"/>
  <c r="L25" i="1"/>
  <c r="K25" i="1"/>
  <c r="J25" i="1"/>
  <c r="I25" i="1"/>
  <c r="M23" i="1"/>
  <c r="L23" i="1"/>
  <c r="K23" i="1"/>
  <c r="J23" i="1"/>
  <c r="I23" i="1"/>
  <c r="M21" i="1"/>
  <c r="L21" i="1"/>
  <c r="K21" i="1"/>
  <c r="J21" i="1"/>
  <c r="I21" i="1"/>
  <c r="J19" i="1"/>
  <c r="K19" i="1"/>
  <c r="L19" i="1"/>
  <c r="M19" i="1"/>
  <c r="I19" i="1"/>
  <c r="I22" i="1"/>
  <c r="J22" i="1"/>
  <c r="K22" i="1"/>
  <c r="L22" i="1"/>
  <c r="M22" i="1"/>
  <c r="I24" i="1"/>
  <c r="J24" i="1"/>
  <c r="K24" i="1"/>
  <c r="L24" i="1"/>
  <c r="M24" i="1"/>
  <c r="I26" i="1"/>
  <c r="J26" i="1"/>
  <c r="K26" i="1"/>
  <c r="L26" i="1"/>
  <c r="M26" i="1"/>
  <c r="I28" i="1"/>
  <c r="J28" i="1"/>
  <c r="K28" i="1"/>
  <c r="L28" i="1"/>
  <c r="M28" i="1"/>
  <c r="J20" i="1"/>
  <c r="K20" i="1"/>
  <c r="L20" i="1"/>
  <c r="M20" i="1"/>
  <c r="I20" i="1"/>
  <c r="H16" i="1"/>
  <c r="G16" i="1"/>
  <c r="F16" i="1"/>
  <c r="E16" i="1"/>
  <c r="D16" i="1"/>
</calcChain>
</file>

<file path=xl/sharedStrings.xml><?xml version="1.0" encoding="utf-8"?>
<sst xmlns="http://schemas.openxmlformats.org/spreadsheetml/2006/main" count="433" uniqueCount="390">
  <si>
    <t>Low and Yes</t>
  </si>
  <si>
    <t>Low and No</t>
  </si>
  <si>
    <t>High and Yes</t>
  </si>
  <si>
    <t>High and No</t>
  </si>
  <si>
    <t>Numble</t>
  </si>
  <si>
    <t>Example 2</t>
  </si>
  <si>
    <t>Example 1</t>
  </si>
  <si>
    <t>Ruled Out</t>
  </si>
  <si>
    <t>Number</t>
  </si>
  <si>
    <t>Example 3</t>
  </si>
  <si>
    <t>Disneyland opens in California</t>
  </si>
  <si>
    <t>Yuri Gagarin becomes first human in space</t>
  </si>
  <si>
    <t>Apollo 11 launches toward the Moon</t>
  </si>
  <si>
    <t>U.S. celebrates 200 years of independence</t>
  </si>
  <si>
    <t>Charlie and the Chocolate Factory published</t>
  </si>
  <si>
    <t>First mobile phone call made</t>
  </si>
  <si>
    <t>Barbie doll is introduced</t>
  </si>
  <si>
    <t>Alan Shepard becomes first American in space</t>
  </si>
  <si>
    <t>Viking 1 lands on Mars</t>
  </si>
  <si>
    <t>Star Wars premieres in theaters</t>
  </si>
  <si>
    <t>'17071955</t>
  </si>
  <si>
    <t>'12041961</t>
  </si>
  <si>
    <t>'16071969</t>
  </si>
  <si>
    <t>'04071976</t>
  </si>
  <si>
    <t>'03091965</t>
  </si>
  <si>
    <t>'29031973</t>
  </si>
  <si>
    <t>'05051961</t>
  </si>
  <si>
    <t>'17071976</t>
  </si>
  <si>
    <t>'25051977</t>
  </si>
  <si>
    <t>'04071776</t>
  </si>
  <si>
    <t>U.S. Declaration of Independence signed</t>
  </si>
  <si>
    <t>'14021789</t>
  </si>
  <si>
    <t>First U.S. presidential election held</t>
  </si>
  <si>
    <t>'22021837</t>
  </si>
  <si>
    <t>First electric telegraph demonstrated</t>
  </si>
  <si>
    <t>First passenger elevator installed</t>
  </si>
  <si>
    <t>First street lighting using gas in U.S.</t>
  </si>
  <si>
    <t>First chocolate bar produced</t>
  </si>
  <si>
    <t>First weather forecast published</t>
  </si>
  <si>
    <t>First roller coaster opens in France</t>
  </si>
  <si>
    <t>First typewriter marketed</t>
  </si>
  <si>
    <t>First indoor plumbing installed in White House</t>
  </si>
  <si>
    <t>First traffic light installed in London</t>
  </si>
  <si>
    <t>First postcards issued in U.K.</t>
  </si>
  <si>
    <t>First vending machine invented</t>
  </si>
  <si>
    <t>First telephone patent filed</t>
  </si>
  <si>
    <t>First microphone invented</t>
  </si>
  <si>
    <t>First electric streetlights installed</t>
  </si>
  <si>
    <t>First payphone introduced</t>
  </si>
  <si>
    <t>First skyscraper built in Chicago</t>
  </si>
  <si>
    <t>First fountain pen patented</t>
  </si>
  <si>
    <t>Statue of Liberty dedicated</t>
  </si>
  <si>
    <t>First electric subway opens in London</t>
  </si>
  <si>
    <t>First fingerprint used for identification</t>
  </si>
  <si>
    <t>First motion picture camera patented</t>
  </si>
  <si>
    <t>First modern Olympic Games held</t>
  </si>
  <si>
    <t>First radio signal sent across English Channel</t>
  </si>
  <si>
    <t>First motor bus service begins</t>
  </si>
  <si>
    <t>First speed limit introduced in U.K.</t>
  </si>
  <si>
    <t>First school bus used in U.S.</t>
  </si>
  <si>
    <t>First braille book published</t>
  </si>
  <si>
    <t>First railway passenger service begins</t>
  </si>
  <si>
    <t>First public museum opens in U.S.</t>
  </si>
  <si>
    <t>First hot air balloon flight in U.S.</t>
  </si>
  <si>
    <t>First bicycle invented</t>
  </si>
  <si>
    <t>First stethoscope invented</t>
  </si>
  <si>
    <t>First kaleidoscope invented</t>
  </si>
  <si>
    <t>First gas streetlight in U.S.</t>
  </si>
  <si>
    <t>First parachute jump from hot air balloon</t>
  </si>
  <si>
    <t>First steam-powered printing press</t>
  </si>
  <si>
    <t>First electric light invented</t>
  </si>
  <si>
    <t>First carbonated water sold commercially</t>
  </si>
  <si>
    <t>'09031959</t>
  </si>
  <si>
    <t>'01081983</t>
  </si>
  <si>
    <t>ARPANET transitions to TCP/IP (birth of internet)</t>
  </si>
  <si>
    <t>'05061952</t>
  </si>
  <si>
    <t>First passenger jet flight (Comet 1)</t>
  </si>
  <si>
    <t>'01081981</t>
  </si>
  <si>
    <t>MTV launches with “Video Killed the Radio Star”</t>
  </si>
  <si>
    <t>'01091985</t>
  </si>
  <si>
    <t>Nintendo Entertainment System released in U.S.</t>
  </si>
  <si>
    <t>'21041989</t>
  </si>
  <si>
    <t>Game Boy released in Japan</t>
  </si>
  <si>
    <t>'24041990</t>
  </si>
  <si>
    <t>Hubble Space Telescope launched</t>
  </si>
  <si>
    <t>'06081991</t>
  </si>
  <si>
    <t>World Wide Web goes live to public</t>
  </si>
  <si>
    <t>'23051995</t>
  </si>
  <si>
    <t>Java programming language released</t>
  </si>
  <si>
    <t>'04071996</t>
  </si>
  <si>
    <t>Hotmail launches</t>
  </si>
  <si>
    <t>'04071997</t>
  </si>
  <si>
    <t>Mars Pathfinder lands</t>
  </si>
  <si>
    <t>'04091998</t>
  </si>
  <si>
    <t>Google founded</t>
  </si>
  <si>
    <t>'07091999</t>
  </si>
  <si>
    <t>First Bluetooth device released</t>
  </si>
  <si>
    <t>'18062001</t>
  </si>
  <si>
    <t>First camera phone released</t>
  </si>
  <si>
    <t>'14042003</t>
  </si>
  <si>
    <t>Human Genome Project completed</t>
  </si>
  <si>
    <t>'04022004</t>
  </si>
  <si>
    <t>Facebook founded</t>
  </si>
  <si>
    <t>'14022005</t>
  </si>
  <si>
    <t>YouTube domain registered</t>
  </si>
  <si>
    <t>'21032006</t>
  </si>
  <si>
    <t>Twitter launches</t>
  </si>
  <si>
    <t>'09012007</t>
  </si>
  <si>
    <t>First iPhone announced</t>
  </si>
  <si>
    <t>'07012008</t>
  </si>
  <si>
    <t>Spotify launches</t>
  </si>
  <si>
    <t>'03012009</t>
  </si>
  <si>
    <t>Bitcoin’s first block mined</t>
  </si>
  <si>
    <t>'06012010</t>
  </si>
  <si>
    <t>Instagram launches</t>
  </si>
  <si>
    <t>'16022011</t>
  </si>
  <si>
    <t>IBM Watson wins Jeopardy!</t>
  </si>
  <si>
    <t>'05082012</t>
  </si>
  <si>
    <t>Curiosity rover lands on Mars</t>
  </si>
  <si>
    <t>'06052013</t>
  </si>
  <si>
    <t>3D-printed gun fired successfully</t>
  </si>
  <si>
    <t>'22072014</t>
  </si>
  <si>
    <t>First drone delivery approved</t>
  </si>
  <si>
    <t>'21012015</t>
  </si>
  <si>
    <t>Reusable rocket lands upright</t>
  </si>
  <si>
    <t>'01062016</t>
  </si>
  <si>
    <t>First AI-written novel published</t>
  </si>
  <si>
    <t>'01082017</t>
  </si>
  <si>
    <t>First CRISPR-edited human embryo</t>
  </si>
  <si>
    <t>'05062018</t>
  </si>
  <si>
    <t>First flying taxi tested</t>
  </si>
  <si>
    <t>'10042019</t>
  </si>
  <si>
    <t>First image of a black hole released</t>
  </si>
  <si>
    <t>'19042021</t>
  </si>
  <si>
    <t>First Mars helicopter flight</t>
  </si>
  <si>
    <t>'12072022</t>
  </si>
  <si>
    <t>James Webb Telescope sends first images</t>
  </si>
  <si>
    <t>'05092024</t>
  </si>
  <si>
    <t>First fusion power breakthrough announced</t>
  </si>
  <si>
    <t>'02032005</t>
  </si>
  <si>
    <t>YouTube officially launches</t>
  </si>
  <si>
    <t>'04042006</t>
  </si>
  <si>
    <t>Twitter goes public</t>
  </si>
  <si>
    <t>'06062007</t>
  </si>
  <si>
    <t>First iPhone released</t>
  </si>
  <si>
    <t>'08082008</t>
  </si>
  <si>
    <t>Beijing Olympics opening ceremony</t>
  </si>
  <si>
    <t>'09092009</t>
  </si>
  <si>
    <t>First electric car mass-produced</t>
  </si>
  <si>
    <t>'10102010</t>
  </si>
  <si>
    <t>Binary date celebrated worldwide</t>
  </si>
  <si>
    <t>'11112011</t>
  </si>
  <si>
    <t>World records set on palindrome date</t>
  </si>
  <si>
    <t>'12122012</t>
  </si>
  <si>
    <t>Last repeating date of the century</t>
  </si>
  <si>
    <t>'13132013</t>
  </si>
  <si>
    <t>First 3D-printed prosthetic limb used</t>
  </si>
  <si>
    <t>'10121836</t>
  </si>
  <si>
    <t>First coin-operated vending machine patented</t>
  </si>
  <si>
    <t>'17091839</t>
  </si>
  <si>
    <t>First bicycle demonstrated in Scotland</t>
  </si>
  <si>
    <t>'24051841</t>
  </si>
  <si>
    <t>First steam-powered fire engine tested</t>
  </si>
  <si>
    <t>'04061842</t>
  </si>
  <si>
    <t>First grain elevator opens in Buffalo</t>
  </si>
  <si>
    <t>'27071844</t>
  </si>
  <si>
    <t>First U.S. patent for a sewing machine</t>
  </si>
  <si>
    <t>'10081846</t>
  </si>
  <si>
    <t>Smithsonian Institution established</t>
  </si>
  <si>
    <t>'01091847</t>
  </si>
  <si>
    <t>First adhesive postage stamp issued in U.S.</t>
  </si>
  <si>
    <t>'12031848</t>
  </si>
  <si>
    <t>First public library opens in Boston</t>
  </si>
  <si>
    <t>'24041850</t>
  </si>
  <si>
    <t>First ice skating club founded in U.S.</t>
  </si>
  <si>
    <t>'05051852</t>
  </si>
  <si>
    <t>'08061854</t>
  </si>
  <si>
    <t>'15071856</t>
  </si>
  <si>
    <t>'18081858</t>
  </si>
  <si>
    <t>First transatlantic telegraph cable completed</t>
  </si>
  <si>
    <t>'21091860</t>
  </si>
  <si>
    <t>'02021862</t>
  </si>
  <si>
    <t>'04031864</t>
  </si>
  <si>
    <t>'06041866</t>
  </si>
  <si>
    <t>'08051868</t>
  </si>
  <si>
    <t>'10061870</t>
  </si>
  <si>
    <t>'12071872</t>
  </si>
  <si>
    <t>'14081874</t>
  </si>
  <si>
    <t>'16091876</t>
  </si>
  <si>
    <t>'18101878</t>
  </si>
  <si>
    <t>'20111880</t>
  </si>
  <si>
    <t>'22021882</t>
  </si>
  <si>
    <t>'24031884</t>
  </si>
  <si>
    <t>'26041886</t>
  </si>
  <si>
    <t>'28051888</t>
  </si>
  <si>
    <t>First recorded use of “hello” on phone</t>
  </si>
  <si>
    <t>'30061890</t>
  </si>
  <si>
    <t>'02071892</t>
  </si>
  <si>
    <t>'04081894</t>
  </si>
  <si>
    <t>'06091896</t>
  </si>
  <si>
    <t>'080101898</t>
  </si>
  <si>
    <t>'10021899</t>
  </si>
  <si>
    <t>'12031865</t>
  </si>
  <si>
    <t>'14041833</t>
  </si>
  <si>
    <t>'16051829</t>
  </si>
  <si>
    <t>'18061827</t>
  </si>
  <si>
    <t>'20071825</t>
  </si>
  <si>
    <t>'22081823</t>
  </si>
  <si>
    <t>'24091821</t>
  </si>
  <si>
    <t>'26101819</t>
  </si>
  <si>
    <t>'28111817</t>
  </si>
  <si>
    <t>'30121815</t>
  </si>
  <si>
    <t>'02011813</t>
  </si>
  <si>
    <t>'04021811</t>
  </si>
  <si>
    <t>'06031809</t>
  </si>
  <si>
    <t>'08041807</t>
  </si>
  <si>
    <t>Date</t>
  </si>
  <si>
    <t>Info</t>
  </si>
  <si>
    <t>04/07/1776</t>
  </si>
  <si>
    <t>14/02/1789</t>
  </si>
  <si>
    <t>22/02/1837</t>
  </si>
  <si>
    <t>10/12/1836</t>
  </si>
  <si>
    <t>17/09/1839</t>
  </si>
  <si>
    <t>24/05/1841</t>
  </si>
  <si>
    <t>04/06/1842</t>
  </si>
  <si>
    <t>27/07/1844</t>
  </si>
  <si>
    <t>10/08/1846</t>
  </si>
  <si>
    <t>01/09/1847</t>
  </si>
  <si>
    <t>12/03/1848</t>
  </si>
  <si>
    <t>24/04/1850</t>
  </si>
  <si>
    <t>05/05/1852</t>
  </si>
  <si>
    <t>08/06/1854</t>
  </si>
  <si>
    <t>15/07/1856</t>
  </si>
  <si>
    <t>18/08/1858</t>
  </si>
  <si>
    <t>21/09/1860</t>
  </si>
  <si>
    <t>02/02/1862</t>
  </si>
  <si>
    <t>04/03/1864</t>
  </si>
  <si>
    <t>06/04/1866</t>
  </si>
  <si>
    <t>08/05/1868</t>
  </si>
  <si>
    <t>10/06/1870</t>
  </si>
  <si>
    <t>12/07/1872</t>
  </si>
  <si>
    <t>14/08/1874</t>
  </si>
  <si>
    <t>16/09/1876</t>
  </si>
  <si>
    <t>18/10/1878</t>
  </si>
  <si>
    <t>20/11/1880</t>
  </si>
  <si>
    <t>22/02/1882</t>
  </si>
  <si>
    <t>24/03/1884</t>
  </si>
  <si>
    <t>26/04/1886</t>
  </si>
  <si>
    <t>28/05/1888</t>
  </si>
  <si>
    <t>30/06/1890</t>
  </si>
  <si>
    <t>02/07/1892</t>
  </si>
  <si>
    <t>04/08/1894</t>
  </si>
  <si>
    <t>06/09/1896</t>
  </si>
  <si>
    <t>08/01/1898</t>
  </si>
  <si>
    <t>10/02/1899</t>
  </si>
  <si>
    <t>12/03/1865</t>
  </si>
  <si>
    <t>14/04/1833</t>
  </si>
  <si>
    <t>16/05/1829</t>
  </si>
  <si>
    <t>18/06/1827</t>
  </si>
  <si>
    <t>20/07/1825</t>
  </si>
  <si>
    <t>22/08/1823</t>
  </si>
  <si>
    <t>24/09/1821</t>
  </si>
  <si>
    <t>26/10/1819</t>
  </si>
  <si>
    <t>28/11/1817</t>
  </si>
  <si>
    <t>30/12/1815</t>
  </si>
  <si>
    <t>02/01/1813</t>
  </si>
  <si>
    <t>04/02/1811</t>
  </si>
  <si>
    <t>06/03/1809</t>
  </si>
  <si>
    <t>08/04/1807</t>
  </si>
  <si>
    <t>Phase</t>
  </si>
  <si>
    <t>Step</t>
  </si>
  <si>
    <t>Description</t>
  </si>
  <si>
    <t>Planning</t>
  </si>
  <si>
    <t>Define MVP scope</t>
  </si>
  <si>
    <t>Start with core game mechanics, history data, input UI, and result feedback</t>
  </si>
  <si>
    <t>Confirm tech stack</t>
  </si>
  <si>
    <t>Choose React/Vue/Next.js + Firebase/Auth0 + Node or serverless backend</t>
  </si>
  <si>
    <t>Prepare assets</t>
  </si>
  <si>
    <t>Gather historical date dataset, icons, Hammie illustrations</t>
  </si>
  <si>
    <t>Backend</t>
  </si>
  <si>
    <t>Design database</t>
  </si>
  <si>
    <t>Schema for users, games, stats, date pool; use SQL or NoSQL</t>
  </si>
  <si>
    <t>Implement game engine</t>
  </si>
  <si>
    <t>Create API to select daily puzzle and validate user input</t>
  </si>
  <si>
    <t>Create solver logic</t>
  </si>
  <si>
    <t>Port Excel-based logic to JS or backend code; optimize for 6-turn limit</t>
  </si>
  <si>
    <t>Build user auth</t>
  </si>
  <si>
    <t>Register/login, auto-login with cookies/localStorage</t>
  </si>
  <si>
    <t>Build stats system</t>
  </si>
  <si>
    <t>Track streak, win %, average attempts</t>
  </si>
  <si>
    <t>Frontend</t>
  </si>
  <si>
    <t>Design UI layout</t>
  </si>
  <si>
    <t>Game board, number pad, digit status, 6-row input limit</t>
  </si>
  <si>
    <t>Build game component</t>
  </si>
  <si>
    <t>Dynamic grid, input handling, row-by-row feedback</t>
  </si>
  <si>
    <t>Develop number pad</t>
  </si>
  <si>
    <t>Clickable 0–9 buttons; update color per digit status</t>
  </si>
  <si>
    <t>Show rule-out logic</t>
  </si>
  <si>
    <t>Color digits red (ruled out) or amber (somewhere in sequence)</t>
  </si>
  <si>
    <t>Add game-end feedback</t>
  </si>
  <si>
    <t>Show correct date and description when solved</t>
  </si>
  <si>
    <t>Display Hammie animation</t>
  </si>
  <si>
    <t>Load animation based on success/failure; placeholder if needed</t>
  </si>
  <si>
    <t>Add solver demo</t>
  </si>
  <si>
    <t>Show Hammie's optimal solving path after game ends</t>
  </si>
  <si>
    <t>Daily puzzle logic</t>
  </si>
  <si>
    <t>Lock puzzle to one per day per user</t>
  </si>
  <si>
    <t>Show user stats</t>
  </si>
  <si>
    <t>Show current streak, performance vs solver</t>
  </si>
  <si>
    <t>Build leaderboard</t>
  </si>
  <si>
    <t>Global averages and comparisons; anonymized</t>
  </si>
  <si>
    <t>Add navigation/Header</t>
  </si>
  <si>
    <t>Home, Play, Stats, About sections</t>
  </si>
  <si>
    <t>Add onboarding modals</t>
  </si>
  <si>
    <t>Tutorial or first-time walkthrough</t>
  </si>
  <si>
    <t>Monetization</t>
  </si>
  <si>
    <t>Add subscription framework</t>
  </si>
  <si>
    <t>Detect free vs paid users; gate premium features</t>
  </si>
  <si>
    <t>Set up billing logic</t>
  </si>
  <si>
    <t>Use Stripe or similar provider</t>
  </si>
  <si>
    <t>Testing</t>
  </si>
  <si>
    <t>Run QA and bug checks</t>
  </si>
  <si>
    <t>Test across browsers, devices, user states</t>
  </si>
  <si>
    <t>Launch</t>
  </si>
  <si>
    <t>Deploy MVP</t>
  </si>
  <si>
    <t>Publish to Netlify/Vercel with domain + HTTPS</t>
  </si>
  <si>
    <t>Post-launch</t>
  </si>
  <si>
    <t>Gather user feedback</t>
  </si>
  <si>
    <t>Add feedback form or Discord link</t>
  </si>
  <si>
    <t>Add Hammie voice/SFX</t>
  </si>
  <si>
    <t>Audio clips based on game events</t>
  </si>
  <si>
    <t>Add themed animations</t>
  </si>
  <si>
    <t>Historic re-enactments per puzzle</t>
  </si>
  <si>
    <t>Task</t>
  </si>
  <si>
    <t>Priority</t>
  </si>
  <si>
    <t>Status</t>
  </si>
  <si>
    <t>1. Setup</t>
  </si>
  <si>
    <t>Initialize React project with Vite</t>
  </si>
  <si>
    <t>High</t>
  </si>
  <si>
    <t>Not started</t>
  </si>
  <si>
    <t>Create folders: /components, /data, /utils</t>
  </si>
  <si>
    <t>1. Data</t>
  </si>
  <si>
    <t>Convert date table to dates.json</t>
  </si>
  <si>
    <t>1. GameLogic</t>
  </si>
  <si>
    <t>Build NewGame function that selects date and sets target digits</t>
  </si>
  <si>
    <t>1. GameBoard</t>
  </si>
  <si>
    <t>Create grid for guesses + feedback logic</t>
  </si>
  <si>
    <t>1. NumberPad</t>
  </si>
  <si>
    <t>Build digit pad with rule-out coloring</t>
  </si>
  <si>
    <t>1. Storage</t>
  </si>
  <si>
    <t>Store selected full date and description in state</t>
  </si>
  <si>
    <t>Medium</t>
  </si>
  <si>
    <t>1. Feedback</t>
  </si>
  <si>
    <t>Display outcome (correct, misplaced, high/low) per cell</t>
  </si>
  <si>
    <t>1. EndGame</t>
  </si>
  <si>
    <t>Show full date + description when solved</t>
  </si>
  <si>
    <t>1. UI</t>
  </si>
  <si>
    <t>Tidy styling with basic CSS grid/flex layout</t>
  </si>
  <si>
    <t>RESTART SUMMARY:</t>
  </si>
  <si>
    <t>Project Title: History Sequence Guessing Web App (featuring Hammie the History Hamster)</t>
  </si>
  <si>
    <t>Goal: Build a web app where users guess a 6-digit sequence derived from famous historical dates (ddmmyy), receiving detailed feedback per digit (correct, high/low, or in a different position). After solving, the app reveals the full date and its description, optionally animated with Hammie the History Hamster reenacting the event.</t>
  </si>
  <si>
    <t>Excel version completed:</t>
  </si>
  <si>
    <t>- Rule-out logic for digits (correct or not in target)</t>
  </si>
  <si>
    <t>- Target sequences now pulled from a curated table of historical dates (not random)</t>
  </si>
  <si>
    <t>- Cell K1 stores row number of selected date; K2/K3 display full date + description upon solving</t>
  </si>
  <si>
    <t>Web app plan:</t>
  </si>
  <si>
    <t>- On-screen number pad (0–9) updates digit colors as the game progresses</t>
  </si>
  <si>
    <t>- Sequence feedback includes color + positioning hints per digit</t>
  </si>
  <si>
    <t>- Solve limit set to 6 guesses per puzzle</t>
  </si>
  <si>
    <t>- Add Hammie animations (success/failure themed around the date’s historical context)</t>
  </si>
  <si>
    <t>Future enhancements:</t>
  </si>
  <si>
    <t>- User login with persistent stats (win rate, streaks, average guesses)</t>
  </si>
  <si>
    <t>- Daily puzzles (one per user per calendar day)</t>
  </si>
  <si>
    <t>- Performance comparison vs global average and solver</t>
  </si>
  <si>
    <t>Next phase:</t>
  </si>
  <si>
    <t>- Tasks include: game grid, number pad, historical data import, target selection logic, feedback rendering, and result reveal</t>
  </si>
  <si>
    <t>- App structured to support future extensions like leaderboard, user profiles, and monetization</t>
  </si>
  <si>
    <t>- Implemented full VBA logic to check user guesses</t>
  </si>
  <si>
    <t>- Solver logic complete</t>
  </si>
  <si>
    <t>- Replicate gameplay in browser using React (via Vite)</t>
  </si>
  <si>
    <t>- Use historical dataset for daily challenge puzzles</t>
  </si>
  <si>
    <t>- After solving, showcase optimal solving path via built-in Solver</t>
  </si>
  <si>
    <t>- Free-to-play initially, with premium subscription features (full stats, animation extras)</t>
  </si>
  <si>
    <t>- Sprint 1  building web MVP (game logic + UI)</t>
  </si>
  <si>
    <t>Key</t>
  </si>
  <si>
    <t>Correct Number</t>
  </si>
  <si>
    <t>Number is somewhere in the sequence</t>
  </si>
  <si>
    <t>Number is nowhere in the sequence</t>
  </si>
  <si>
    <t>The correct number is higher than the guess</t>
  </si>
  <si>
    <t>The correct number is lower than the guess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</si>
</sst>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9" tint="-0.249977111117893"/>
      <name val="Aptos Narrow"/>
      <family val="2"/>
      <scheme val="minor"/>
    </font>
    <font>
      <b/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00B050"/>
      </top>
      <bottom/>
      <diagonal/>
    </border>
    <border>
      <left/>
      <right/>
      <top style="medium">
        <color rgb="FFFF0000"/>
      </top>
      <bottom style="medium">
        <color rgb="FF00B05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00B050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rgb="FF00B050"/>
      </top>
      <bottom style="medium">
        <color rgb="FFC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2" borderId="0" xfId="0" applyFont="1" applyFill="1"/>
    <xf numFmtId="0" fontId="0" fillId="3" borderId="0" xfId="0" applyFill="1"/>
    <xf numFmtId="0" fontId="5" fillId="0" borderId="1" xfId="0" applyFont="1" applyBorder="1"/>
    <xf numFmtId="0" fontId="4" fillId="4" borderId="0" xfId="0" applyFont="1" applyFill="1"/>
    <xf numFmtId="0" fontId="6" fillId="0" borderId="1" xfId="0" applyFont="1" applyBorder="1"/>
    <xf numFmtId="0" fontId="5" fillId="0" borderId="2" xfId="0" applyFont="1" applyBorder="1"/>
    <xf numFmtId="0" fontId="0" fillId="0" borderId="0" xfId="0" applyAlignment="1">
      <alignment horizontal="center"/>
    </xf>
    <xf numFmtId="0" fontId="5" fillId="0" borderId="6" xfId="0" applyFont="1" applyBorder="1"/>
    <xf numFmtId="0" fontId="2" fillId="0" borderId="0" xfId="0" applyFont="1"/>
    <xf numFmtId="0" fontId="6" fillId="0" borderId="2" xfId="0" applyFont="1" applyBorder="1"/>
    <xf numFmtId="0" fontId="6" fillId="0" borderId="0" xfId="0" applyFont="1"/>
    <xf numFmtId="0" fontId="6" fillId="0" borderId="5" xfId="0" applyFont="1" applyBorder="1"/>
    <xf numFmtId="0" fontId="5" fillId="0" borderId="0" xfId="0" applyFont="1"/>
    <xf numFmtId="0" fontId="5" fillId="0" borderId="7" xfId="0" applyFont="1" applyBorder="1"/>
    <xf numFmtId="0" fontId="6" fillId="0" borderId="3" xfId="0" applyFont="1" applyBorder="1"/>
    <xf numFmtId="0" fontId="6" fillId="0" borderId="7" xfId="0" applyFont="1" applyBorder="1"/>
    <xf numFmtId="0" fontId="5" fillId="0" borderId="4" xfId="0" applyFont="1" applyBorder="1"/>
    <xf numFmtId="0" fontId="6" fillId="0" borderId="4" xfId="0" applyFont="1" applyBorder="1"/>
    <xf numFmtId="0" fontId="0" fillId="4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center" vertical="center" shrinkToFit="1"/>
    </xf>
    <xf numFmtId="0" fontId="0" fillId="5" borderId="0" xfId="0" applyFill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6" fillId="0" borderId="2" xfId="0" applyFont="1" applyFill="1" applyBorder="1"/>
    <xf numFmtId="0" fontId="5" fillId="0" borderId="2" xfId="0" applyFont="1" applyFill="1" applyBorder="1"/>
    <xf numFmtId="0" fontId="4" fillId="4" borderId="0" xfId="0" applyFont="1" applyFill="1" applyBorder="1"/>
    <xf numFmtId="0" fontId="5" fillId="0" borderId="0" xfId="0" applyFont="1" applyFill="1" applyBorder="1"/>
    <xf numFmtId="0" fontId="5" fillId="0" borderId="7" xfId="0" applyFont="1" applyFill="1" applyBorder="1"/>
    <xf numFmtId="0" fontId="6" fillId="0" borderId="3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5" fillId="0" borderId="9" xfId="0" applyFont="1" applyFill="1" applyBorder="1"/>
    <xf numFmtId="0" fontId="6" fillId="0" borderId="11" xfId="0" applyFont="1" applyFill="1" applyBorder="1"/>
    <xf numFmtId="0" fontId="5" fillId="0" borderId="8" xfId="0" applyFont="1" applyFill="1" applyBorder="1"/>
  </cellXfs>
  <cellStyles count="1">
    <cellStyle name="Normal" xfId="0" builtinId="0"/>
  </cellStyles>
  <dxfs count="10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6</xdr:row>
          <xdr:rowOff>7620</xdr:rowOff>
        </xdr:from>
        <xdr:to>
          <xdr:col>2</xdr:col>
          <xdr:colOff>1013460</xdr:colOff>
          <xdr:row>6</xdr:row>
          <xdr:rowOff>251460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4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153" name="CheckBtn_8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3DA4CC6F-1B35-E5E5-AB5C-3C2CD6902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54" name="CheckBtn_9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B09FCF94-D873-39EB-AE70-298D6135D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6AFC5-F922-4F7A-B77E-DEBBEAC6E43A}">
  <sheetPr codeName="Sheet1"/>
  <dimension ref="B3:U50"/>
  <sheetViews>
    <sheetView tabSelected="1" topLeftCell="A20" zoomScale="130" zoomScaleNormal="130" workbookViewId="0">
      <selection activeCell="K48" sqref="K48:O48"/>
    </sheetView>
  </sheetViews>
  <sheetFormatPr defaultRowHeight="14.4" x14ac:dyDescent="0.3"/>
  <sheetData>
    <row r="3" spans="2:8" x14ac:dyDescent="0.3">
      <c r="D3">
        <v>3</v>
      </c>
      <c r="E3">
        <v>8</v>
      </c>
      <c r="F3">
        <v>1</v>
      </c>
      <c r="G3">
        <v>9</v>
      </c>
      <c r="H3">
        <v>3</v>
      </c>
    </row>
    <row r="5" spans="2:8" x14ac:dyDescent="0.3">
      <c r="D5">
        <v>1</v>
      </c>
      <c r="E5">
        <v>2</v>
      </c>
      <c r="F5">
        <v>3</v>
      </c>
      <c r="G5">
        <v>4</v>
      </c>
      <c r="H5">
        <v>5</v>
      </c>
    </row>
    <row r="8" spans="2:8" x14ac:dyDescent="0.3">
      <c r="B8">
        <v>3</v>
      </c>
      <c r="C8">
        <v>1</v>
      </c>
      <c r="D8" t="s">
        <v>0</v>
      </c>
    </row>
    <row r="9" spans="2:8" x14ac:dyDescent="0.3">
      <c r="B9">
        <v>8</v>
      </c>
      <c r="C9">
        <v>2</v>
      </c>
      <c r="D9" t="s">
        <v>1</v>
      </c>
    </row>
    <row r="10" spans="2:8" x14ac:dyDescent="0.3">
      <c r="B10">
        <v>1</v>
      </c>
      <c r="C10">
        <v>3</v>
      </c>
      <c r="D10" t="s">
        <v>2</v>
      </c>
    </row>
    <row r="11" spans="2:8" x14ac:dyDescent="0.3">
      <c r="B11">
        <v>9</v>
      </c>
      <c r="C11">
        <v>4</v>
      </c>
      <c r="D11" t="s">
        <v>1</v>
      </c>
    </row>
    <row r="12" spans="2:8" x14ac:dyDescent="0.3">
      <c r="B12">
        <v>3</v>
      </c>
      <c r="C12">
        <v>5</v>
      </c>
      <c r="D12" t="s">
        <v>3</v>
      </c>
    </row>
    <row r="14" spans="2:8" x14ac:dyDescent="0.3">
      <c r="D14" t="s">
        <v>4</v>
      </c>
    </row>
    <row r="16" spans="2:8" x14ac:dyDescent="0.3">
      <c r="D16" s="1">
        <f ca="1">RANDBETWEEN(0,9)</f>
        <v>4</v>
      </c>
      <c r="E16" s="1">
        <f ca="1">RANDBETWEEN(0,9)</f>
        <v>3</v>
      </c>
      <c r="F16" s="1">
        <f ca="1">RANDBETWEEN(0,9)</f>
        <v>4</v>
      </c>
      <c r="G16" s="1">
        <f ca="1">RANDBETWEEN(0,9)</f>
        <v>3</v>
      </c>
      <c r="H16" s="1">
        <f ca="1">RANDBETWEEN(0,9)</f>
        <v>1</v>
      </c>
    </row>
    <row r="18" spans="4:13" x14ac:dyDescent="0.3">
      <c r="D18" s="1">
        <v>8</v>
      </c>
      <c r="E18" s="1">
        <v>2</v>
      </c>
      <c r="F18" s="1">
        <v>7</v>
      </c>
      <c r="G18" s="1">
        <v>4</v>
      </c>
      <c r="H18" s="1">
        <v>2</v>
      </c>
    </row>
    <row r="19" spans="4:13" x14ac:dyDescent="0.3">
      <c r="D19" s="2">
        <v>7</v>
      </c>
      <c r="E19" s="2">
        <v>6</v>
      </c>
      <c r="F19" s="2">
        <v>5</v>
      </c>
      <c r="G19" s="2">
        <v>4</v>
      </c>
      <c r="H19" s="2">
        <v>3</v>
      </c>
      <c r="I19" t="str">
        <f>IF(ISERROR((MATCH(D19,$D$18:$H$18,0))),"No","Yes")</f>
        <v>Yes</v>
      </c>
      <c r="J19" t="str">
        <f t="shared" ref="J19:M19" si="0">IF(ISERROR((MATCH(E19,$D$18:$H$18,0))),"No","Yes")</f>
        <v>No</v>
      </c>
      <c r="K19" t="str">
        <f t="shared" si="0"/>
        <v>No</v>
      </c>
      <c r="L19" t="str">
        <f t="shared" si="0"/>
        <v>Yes</v>
      </c>
      <c r="M19" t="str">
        <f t="shared" si="0"/>
        <v>No</v>
      </c>
    </row>
    <row r="20" spans="4:13" x14ac:dyDescent="0.3">
      <c r="I20" t="str">
        <f>IF(D19&gt;D$18,"High",IF(D19&lt;D$18,"Low","Correct"))</f>
        <v>Low</v>
      </c>
      <c r="J20" t="str">
        <f>IF(E19&gt;E$18,"High",IF(E19&lt;E$18,"Low","Correct"))</f>
        <v>High</v>
      </c>
      <c r="K20" t="str">
        <f>IF(F19&gt;F$18,"High",IF(F19&lt;F$18,"Low","Correct"))</f>
        <v>Low</v>
      </c>
      <c r="L20" t="str">
        <f>IF(G19&gt;G$18,"High",IF(G19&lt;G$18,"Low","Correct"))</f>
        <v>Correct</v>
      </c>
      <c r="M20" t="str">
        <f>IF(H19&gt;H$18,"High",IF(H19&lt;H$18,"Low","Correct"))</f>
        <v>High</v>
      </c>
    </row>
    <row r="21" spans="4:13" x14ac:dyDescent="0.3">
      <c r="D21" s="2">
        <v>8</v>
      </c>
      <c r="E21" s="2">
        <v>1</v>
      </c>
      <c r="F21" s="2">
        <v>7</v>
      </c>
      <c r="G21" s="2">
        <v>4</v>
      </c>
      <c r="H21" s="2">
        <v>2</v>
      </c>
      <c r="I21" t="str">
        <f>IF(ISERROR((MATCH(D21,$D$18:$H$18,0))),"No","Yes")</f>
        <v>Yes</v>
      </c>
      <c r="J21" t="str">
        <f t="shared" ref="J21" si="1">IF(ISERROR((MATCH(E21,$D$18:$H$18,0))),"No","Yes")</f>
        <v>No</v>
      </c>
      <c r="K21" t="str">
        <f t="shared" ref="K21" si="2">IF(ISERROR((MATCH(F21,$D$18:$H$18,0))),"No","Yes")</f>
        <v>Yes</v>
      </c>
      <c r="L21" t="str">
        <f t="shared" ref="L21" si="3">IF(ISERROR((MATCH(G21,$D$18:$H$18,0))),"No","Yes")</f>
        <v>Yes</v>
      </c>
      <c r="M21" t="str">
        <f t="shared" ref="M21" si="4">IF(ISERROR((MATCH(H21,$D$18:$H$18,0))),"No","Yes")</f>
        <v>Yes</v>
      </c>
    </row>
    <row r="22" spans="4:13" x14ac:dyDescent="0.3">
      <c r="I22" t="str">
        <f>IF(D21&gt;D$18,"High",IF(D21&lt;D$18,"Low","Correct"))</f>
        <v>Correct</v>
      </c>
      <c r="J22" t="str">
        <f>IF(E21&gt;E$18,"High",IF(E21&lt;E$18,"Low","Correct"))</f>
        <v>Low</v>
      </c>
      <c r="K22" t="str">
        <f>IF(F21&gt;F$18,"High",IF(F21&lt;F$18,"Low","Correct"))</f>
        <v>Correct</v>
      </c>
      <c r="L22" t="str">
        <f>IF(G21&gt;G$18,"High",IF(G21&lt;G$18,"Low","Correct"))</f>
        <v>Correct</v>
      </c>
      <c r="M22" t="str">
        <f>IF(H21&gt;H$18,"High",IF(H21&lt;H$18,"Low","Correct"))</f>
        <v>Correct</v>
      </c>
    </row>
    <row r="23" spans="4:13" x14ac:dyDescent="0.3">
      <c r="D23" s="2">
        <v>8</v>
      </c>
      <c r="E23" s="2">
        <v>4</v>
      </c>
      <c r="F23" s="2">
        <v>7</v>
      </c>
      <c r="G23" s="2">
        <v>4</v>
      </c>
      <c r="H23" s="2">
        <v>2</v>
      </c>
      <c r="I23" t="str">
        <f>IF(ISERROR((MATCH(D23,$D$18:$H$18,0))),"No","Yes")</f>
        <v>Yes</v>
      </c>
      <c r="J23" t="str">
        <f t="shared" ref="J23" si="5">IF(ISERROR((MATCH(E23,$D$18:$H$18,0))),"No","Yes")</f>
        <v>Yes</v>
      </c>
      <c r="K23" t="str">
        <f t="shared" ref="K23" si="6">IF(ISERROR((MATCH(F23,$D$18:$H$18,0))),"No","Yes")</f>
        <v>Yes</v>
      </c>
      <c r="L23" t="str">
        <f t="shared" ref="L23" si="7">IF(ISERROR((MATCH(G23,$D$18:$H$18,0))),"No","Yes")</f>
        <v>Yes</v>
      </c>
      <c r="M23" t="str">
        <f t="shared" ref="M23" si="8">IF(ISERROR((MATCH(H23,$D$18:$H$18,0))),"No","Yes")</f>
        <v>Yes</v>
      </c>
    </row>
    <row r="24" spans="4:13" x14ac:dyDescent="0.3">
      <c r="I24" t="str">
        <f>IF(D23&gt;D$18,"High",IF(D23&lt;D$18,"Low","Correct"))</f>
        <v>Correct</v>
      </c>
      <c r="J24" t="str">
        <f>IF(E23&gt;E$18,"High",IF(E23&lt;E$18,"Low","Correct"))</f>
        <v>High</v>
      </c>
      <c r="K24" t="str">
        <f>IF(F23&gt;F$18,"High",IF(F23&lt;F$18,"Low","Correct"))</f>
        <v>Correct</v>
      </c>
      <c r="L24" t="str">
        <f>IF(G23&gt;G$18,"High",IF(G23&lt;G$18,"Low","Correct"))</f>
        <v>Correct</v>
      </c>
      <c r="M24" t="str">
        <f>IF(H23&gt;H$18,"High",IF(H23&lt;H$18,"Low","Correct"))</f>
        <v>Correct</v>
      </c>
    </row>
    <row r="25" spans="4:13" x14ac:dyDescent="0.3">
      <c r="D25" s="2">
        <v>8</v>
      </c>
      <c r="E25" s="2">
        <v>2</v>
      </c>
      <c r="F25" s="2">
        <v>7</v>
      </c>
      <c r="G25" s="2">
        <v>4</v>
      </c>
      <c r="H25" s="2">
        <v>2</v>
      </c>
      <c r="I25" t="str">
        <f>IF(ISERROR((MATCH(D25,$D$18:$H$18,0))),"No","Yes")</f>
        <v>Yes</v>
      </c>
      <c r="J25" t="str">
        <f t="shared" ref="J25" si="9">IF(ISERROR((MATCH(E25,$D$18:$H$18,0))),"No","Yes")</f>
        <v>Yes</v>
      </c>
      <c r="K25" t="str">
        <f t="shared" ref="K25" si="10">IF(ISERROR((MATCH(F25,$D$18:$H$18,0))),"No","Yes")</f>
        <v>Yes</v>
      </c>
      <c r="L25" t="str">
        <f t="shared" ref="L25" si="11">IF(ISERROR((MATCH(G25,$D$18:$H$18,0))),"No","Yes")</f>
        <v>Yes</v>
      </c>
      <c r="M25" t="str">
        <f t="shared" ref="M25" si="12">IF(ISERROR((MATCH(H25,$D$18:$H$18,0))),"No","Yes")</f>
        <v>Yes</v>
      </c>
    </row>
    <row r="26" spans="4:13" x14ac:dyDescent="0.3">
      <c r="I26" t="str">
        <f>IF(D25&gt;D$18,"High",IF(D25&lt;D$18,"Low","Correct"))</f>
        <v>Correct</v>
      </c>
      <c r="J26" t="str">
        <f>IF(E25&gt;E$18,"High",IF(E25&lt;E$18,"Low","Correct"))</f>
        <v>Correct</v>
      </c>
      <c r="K26" t="str">
        <f>IF(F25&gt;F$18,"High",IF(F25&lt;F$18,"Low","Correct"))</f>
        <v>Correct</v>
      </c>
      <c r="L26" t="str">
        <f>IF(G25&gt;G$18,"High",IF(G25&lt;G$18,"Low","Correct"))</f>
        <v>Correct</v>
      </c>
      <c r="M26" t="str">
        <f>IF(H25&gt;H$18,"High",IF(H25&lt;H$18,"Low","Correct"))</f>
        <v>Correct</v>
      </c>
    </row>
    <row r="27" spans="4:13" x14ac:dyDescent="0.3">
      <c r="I27" t="str">
        <f>IF(ISERROR((MATCH(D27,$D$18:$H$18,0))),"No","Yes")</f>
        <v>No</v>
      </c>
      <c r="J27" t="str">
        <f t="shared" ref="J27" si="13">IF(ISERROR((MATCH(E27,$D$18:$H$18,0))),"No","Yes")</f>
        <v>No</v>
      </c>
      <c r="K27" t="str">
        <f t="shared" ref="K27" si="14">IF(ISERROR((MATCH(F27,$D$18:$H$18,0))),"No","Yes")</f>
        <v>No</v>
      </c>
      <c r="L27" t="str">
        <f t="shared" ref="L27" si="15">IF(ISERROR((MATCH(G27,$D$18:$H$18,0))),"No","Yes")</f>
        <v>No</v>
      </c>
      <c r="M27" t="str">
        <f t="shared" ref="M27" si="16">IF(ISERROR((MATCH(H27,$D$18:$H$18,0))),"No","Yes")</f>
        <v>No</v>
      </c>
    </row>
    <row r="28" spans="4:13" x14ac:dyDescent="0.3">
      <c r="I28" t="str">
        <f>IF(D27&gt;D$18,"High",IF(D27&lt;D$18,"Low","Correct"))</f>
        <v>Low</v>
      </c>
      <c r="J28" t="str">
        <f>IF(E27&gt;E$18,"High",IF(E27&lt;E$18,"Low","Correct"))</f>
        <v>Low</v>
      </c>
      <c r="K28" t="str">
        <f>IF(F27&gt;F$18,"High",IF(F27&lt;F$18,"Low","Correct"))</f>
        <v>Low</v>
      </c>
      <c r="L28" t="str">
        <f>IF(G27&gt;G$18,"High",IF(G27&lt;G$18,"Low","Correct"))</f>
        <v>Low</v>
      </c>
      <c r="M28" t="str">
        <f>IF(H27&gt;H$18,"High",IF(H27&lt;H$18,"Low","Correct"))</f>
        <v>Low</v>
      </c>
    </row>
    <row r="32" spans="4:13" x14ac:dyDescent="0.3">
      <c r="D32" t="s">
        <v>6</v>
      </c>
    </row>
    <row r="33" spans="4:21" x14ac:dyDescent="0.3">
      <c r="D33" s="9">
        <v>9</v>
      </c>
      <c r="E33" s="9">
        <v>4</v>
      </c>
      <c r="F33" s="9">
        <v>1</v>
      </c>
      <c r="G33" s="9">
        <v>7</v>
      </c>
      <c r="H33" s="9">
        <v>1</v>
      </c>
      <c r="K33" t="s">
        <v>5</v>
      </c>
    </row>
    <row r="34" spans="4:21" ht="15" thickBot="1" x14ac:dyDescent="0.35">
      <c r="D34" s="13">
        <v>3</v>
      </c>
      <c r="E34" s="4">
        <v>4</v>
      </c>
      <c r="F34" s="10">
        <v>5</v>
      </c>
      <c r="G34" s="13">
        <v>6</v>
      </c>
      <c r="H34" s="11">
        <v>7</v>
      </c>
      <c r="K34" s="9">
        <v>0</v>
      </c>
      <c r="L34" s="9">
        <v>3</v>
      </c>
      <c r="M34" s="9">
        <v>1</v>
      </c>
      <c r="N34" s="9">
        <v>4</v>
      </c>
      <c r="O34" s="9">
        <v>1</v>
      </c>
      <c r="P34" s="7"/>
      <c r="Q34" s="7"/>
      <c r="R34" s="7"/>
      <c r="S34" s="7"/>
      <c r="T34" s="7"/>
      <c r="U34" s="7"/>
    </row>
    <row r="35" spans="4:21" ht="15" thickBot="1" x14ac:dyDescent="0.35">
      <c r="D35" s="14">
        <v>7</v>
      </c>
      <c r="E35" s="4">
        <v>4</v>
      </c>
      <c r="F35" s="4">
        <v>1</v>
      </c>
      <c r="G35" s="12">
        <v>8</v>
      </c>
      <c r="H35" s="15">
        <v>2</v>
      </c>
      <c r="K35" s="5">
        <v>3</v>
      </c>
      <c r="L35" s="11">
        <v>4</v>
      </c>
      <c r="M35" s="11">
        <v>5</v>
      </c>
      <c r="N35" s="11">
        <v>6</v>
      </c>
      <c r="O35" s="11">
        <v>7</v>
      </c>
      <c r="P35" s="7"/>
      <c r="Q35" s="11">
        <v>3</v>
      </c>
      <c r="R35" s="5">
        <v>4</v>
      </c>
      <c r="S35" s="11">
        <v>5</v>
      </c>
      <c r="T35" s="11">
        <v>6</v>
      </c>
      <c r="U35" s="11">
        <v>7</v>
      </c>
    </row>
    <row r="36" spans="4:21" ht="15" thickBot="1" x14ac:dyDescent="0.35">
      <c r="D36" s="4">
        <v>9</v>
      </c>
      <c r="E36" s="4">
        <v>4</v>
      </c>
      <c r="F36" s="4">
        <v>1</v>
      </c>
      <c r="G36" s="4">
        <v>7</v>
      </c>
      <c r="H36" s="4">
        <v>1</v>
      </c>
      <c r="K36" s="4">
        <v>0</v>
      </c>
      <c r="L36" s="17">
        <v>1</v>
      </c>
      <c r="M36" s="12">
        <v>2</v>
      </c>
      <c r="N36" s="14">
        <v>3</v>
      </c>
      <c r="O36" s="16">
        <v>4</v>
      </c>
      <c r="P36" s="7"/>
      <c r="Q36" s="18">
        <v>4</v>
      </c>
      <c r="R36" s="4">
        <v>3</v>
      </c>
      <c r="S36" s="4">
        <v>1</v>
      </c>
      <c r="T36" s="13">
        <v>0</v>
      </c>
      <c r="U36" s="11">
        <v>2</v>
      </c>
    </row>
    <row r="37" spans="4:21" ht="15" thickBot="1" x14ac:dyDescent="0.35">
      <c r="K37" s="4">
        <v>0</v>
      </c>
      <c r="L37" s="4">
        <v>3</v>
      </c>
      <c r="M37" s="4">
        <v>1</v>
      </c>
      <c r="N37" s="4">
        <v>4</v>
      </c>
      <c r="O37" s="4">
        <v>1</v>
      </c>
      <c r="Q37" s="4">
        <v>0</v>
      </c>
      <c r="R37" s="19">
        <v>3</v>
      </c>
      <c r="S37" s="19">
        <v>1</v>
      </c>
      <c r="T37" s="17">
        <v>3</v>
      </c>
      <c r="U37" s="11">
        <v>4</v>
      </c>
    </row>
    <row r="38" spans="4:21" ht="15" thickBot="1" x14ac:dyDescent="0.35">
      <c r="Q38" s="19">
        <v>0</v>
      </c>
      <c r="R38" s="19">
        <v>3</v>
      </c>
      <c r="S38" s="19">
        <v>1</v>
      </c>
      <c r="T38" s="4">
        <v>4</v>
      </c>
      <c r="U38" s="8">
        <v>0</v>
      </c>
    </row>
    <row r="39" spans="4:21" ht="15" thickBot="1" x14ac:dyDescent="0.35">
      <c r="Q39" s="19">
        <v>0</v>
      </c>
      <c r="R39" s="19">
        <v>3</v>
      </c>
      <c r="S39" s="19">
        <v>1</v>
      </c>
      <c r="T39" s="19">
        <v>4</v>
      </c>
      <c r="U39" s="18">
        <v>3</v>
      </c>
    </row>
    <row r="40" spans="4:21" x14ac:dyDescent="0.3">
      <c r="Q40" s="19">
        <v>0</v>
      </c>
      <c r="R40" s="19">
        <v>3</v>
      </c>
      <c r="S40" s="19">
        <v>1</v>
      </c>
      <c r="T40" s="19">
        <v>4</v>
      </c>
      <c r="U40" s="4">
        <v>1</v>
      </c>
    </row>
    <row r="44" spans="4:21" x14ac:dyDescent="0.3">
      <c r="K44" t="s">
        <v>9</v>
      </c>
    </row>
    <row r="45" spans="4:21" x14ac:dyDescent="0.3">
      <c r="K45" s="9">
        <v>9</v>
      </c>
      <c r="L45" s="9">
        <v>9</v>
      </c>
      <c r="M45" s="9">
        <v>8</v>
      </c>
      <c r="N45" s="9">
        <v>3</v>
      </c>
      <c r="O45" s="9">
        <v>1</v>
      </c>
      <c r="P45" s="7"/>
      <c r="Q45" s="7"/>
      <c r="R45" s="7"/>
      <c r="S45" s="7"/>
      <c r="T45" s="7"/>
      <c r="U45" s="7"/>
    </row>
    <row r="46" spans="4:21" ht="15" thickBot="1" x14ac:dyDescent="0.35">
      <c r="K46" s="13">
        <v>3</v>
      </c>
      <c r="L46" s="6">
        <v>4</v>
      </c>
      <c r="M46" s="6">
        <v>5</v>
      </c>
      <c r="N46" s="10">
        <v>6</v>
      </c>
      <c r="O46" s="11">
        <v>7</v>
      </c>
      <c r="P46" s="7"/>
      <c r="Q46" s="3">
        <v>3</v>
      </c>
      <c r="R46" s="13">
        <v>4</v>
      </c>
      <c r="S46" s="13">
        <v>5</v>
      </c>
      <c r="T46" s="11">
        <v>6</v>
      </c>
      <c r="U46" s="11">
        <v>7</v>
      </c>
    </row>
    <row r="47" spans="4:21" ht="15" thickBot="1" x14ac:dyDescent="0.35">
      <c r="K47" s="3">
        <v>8</v>
      </c>
      <c r="L47" s="4">
        <v>9</v>
      </c>
      <c r="M47" s="4">
        <v>8</v>
      </c>
      <c r="N47" s="4">
        <v>3</v>
      </c>
      <c r="O47" s="10">
        <v>2</v>
      </c>
      <c r="P47" s="7"/>
      <c r="Q47" s="13">
        <v>6</v>
      </c>
      <c r="R47" s="13">
        <v>7</v>
      </c>
      <c r="S47" s="19">
        <v>8</v>
      </c>
      <c r="T47" s="13">
        <v>2</v>
      </c>
      <c r="U47" s="5">
        <v>3</v>
      </c>
    </row>
    <row r="48" spans="4:21" ht="15" thickBot="1" x14ac:dyDescent="0.35">
      <c r="K48" s="4">
        <v>9</v>
      </c>
      <c r="L48" s="4">
        <v>9</v>
      </c>
      <c r="M48" s="4">
        <v>8</v>
      </c>
      <c r="N48" s="4">
        <v>3</v>
      </c>
      <c r="O48" s="4">
        <v>1</v>
      </c>
      <c r="Q48" s="3">
        <v>8</v>
      </c>
      <c r="R48" s="19">
        <v>9</v>
      </c>
      <c r="S48" s="13">
        <v>6</v>
      </c>
      <c r="T48" s="11">
        <v>4</v>
      </c>
      <c r="U48" s="19">
        <v>1</v>
      </c>
    </row>
    <row r="49" spans="17:21" ht="15" thickBot="1" x14ac:dyDescent="0.35">
      <c r="Q49" s="19">
        <v>9</v>
      </c>
      <c r="R49" s="3">
        <v>8</v>
      </c>
      <c r="S49" s="13">
        <v>7</v>
      </c>
      <c r="T49" s="19">
        <v>3</v>
      </c>
      <c r="U49" s="19">
        <v>1</v>
      </c>
    </row>
    <row r="50" spans="17:21" x14ac:dyDescent="0.3">
      <c r="Q50" s="19">
        <v>9</v>
      </c>
      <c r="R50" s="19">
        <v>9</v>
      </c>
      <c r="S50" s="19">
        <v>8</v>
      </c>
      <c r="T50" s="19">
        <v>3</v>
      </c>
      <c r="U50" s="19">
        <v>1</v>
      </c>
    </row>
  </sheetData>
  <pageMargins left="0.7" right="0.7" top="0.75" bottom="0.75" header="0.3" footer="0.3"/>
  <ignoredErrors>
    <ignoredError sqref="I20:M2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30CC0-EB54-44CB-9CBB-86BA8DB2D211}">
  <sheetPr codeName="Sheet2"/>
  <dimension ref="B1:AL109"/>
  <sheetViews>
    <sheetView zoomScale="120" zoomScaleNormal="120" workbookViewId="0">
      <selection activeCell="I10" sqref="I10"/>
    </sheetView>
  </sheetViews>
  <sheetFormatPr defaultRowHeight="14.4" x14ac:dyDescent="0.3"/>
  <cols>
    <col min="1" max="2" width="8.88671875" style="7"/>
    <col min="3" max="3" width="14.77734375" style="7" customWidth="1"/>
    <col min="4" max="9" width="8.88671875" style="7"/>
    <col min="11" max="11" width="9.77734375" style="7" customWidth="1"/>
    <col min="12" max="17" width="8.88671875" style="7"/>
    <col min="18" max="19" width="8.88671875" style="7" customWidth="1"/>
    <col min="20" max="29" width="8.88671875" style="7"/>
    <col min="30" max="30" width="10.33203125" style="7" bestFit="1" customWidth="1"/>
    <col min="31" max="36" width="4.88671875" style="7" customWidth="1"/>
    <col min="37" max="37" width="40.21875" style="7" bestFit="1" customWidth="1"/>
    <col min="38" max="38" width="10.33203125" style="7" bestFit="1" customWidth="1"/>
    <col min="39" max="16384" width="8.88671875" style="7"/>
  </cols>
  <sheetData>
    <row r="1" spans="2:38" x14ac:dyDescent="0.3">
      <c r="K1" s="35">
        <v>13</v>
      </c>
      <c r="O1" s="34" t="s">
        <v>384</v>
      </c>
      <c r="P1" s="28">
        <v>5</v>
      </c>
      <c r="Q1" s="33" t="s">
        <v>385</v>
      </c>
      <c r="R1" s="22"/>
      <c r="S1" s="22"/>
      <c r="T1" s="22"/>
      <c r="U1" s="22"/>
      <c r="V1" s="22"/>
      <c r="W1" s="22"/>
    </row>
    <row r="2" spans="2:38" x14ac:dyDescent="0.3">
      <c r="J2" s="24" t="s">
        <v>216</v>
      </c>
      <c r="K2" s="27">
        <v>27958</v>
      </c>
      <c r="L2" s="26"/>
      <c r="O2" s="33"/>
      <c r="P2" s="29">
        <v>5</v>
      </c>
      <c r="Q2" s="33" t="s">
        <v>389</v>
      </c>
      <c r="R2" s="22"/>
      <c r="S2" s="22"/>
      <c r="T2" s="22"/>
      <c r="U2" s="22"/>
      <c r="V2" s="22"/>
      <c r="W2" s="22"/>
    </row>
    <row r="3" spans="2:38" x14ac:dyDescent="0.3">
      <c r="D3" s="20">
        <v>0</v>
      </c>
      <c r="E3" s="20">
        <v>1</v>
      </c>
      <c r="F3" s="20">
        <v>2</v>
      </c>
      <c r="G3" s="20">
        <v>3</v>
      </c>
      <c r="H3" s="20">
        <v>4</v>
      </c>
      <c r="I3" s="20"/>
      <c r="J3" s="24" t="s">
        <v>217</v>
      </c>
      <c r="K3" s="25" t="s">
        <v>18</v>
      </c>
      <c r="O3" s="33"/>
      <c r="P3" s="30">
        <v>5</v>
      </c>
      <c r="Q3" s="33" t="s">
        <v>388</v>
      </c>
      <c r="R3" s="22"/>
      <c r="S3" s="22"/>
      <c r="T3" s="22"/>
      <c r="U3" s="22"/>
      <c r="V3" s="22"/>
      <c r="W3" s="22"/>
    </row>
    <row r="4" spans="2:38" ht="15" thickBot="1" x14ac:dyDescent="0.35">
      <c r="D4" s="20">
        <v>5</v>
      </c>
      <c r="E4" s="20">
        <v>6</v>
      </c>
      <c r="F4" s="20">
        <v>7</v>
      </c>
      <c r="G4" s="20">
        <v>8</v>
      </c>
      <c r="H4" s="20">
        <v>9</v>
      </c>
      <c r="I4" s="20"/>
      <c r="P4" s="31">
        <v>5</v>
      </c>
      <c r="Q4" s="33" t="s">
        <v>387</v>
      </c>
      <c r="R4" s="22"/>
      <c r="S4" s="22"/>
      <c r="T4" s="22"/>
      <c r="U4" s="22"/>
      <c r="V4" s="22"/>
      <c r="W4" s="22"/>
    </row>
    <row r="5" spans="2:38" ht="15" thickBot="1" x14ac:dyDescent="0.35">
      <c r="P5" s="32">
        <v>5</v>
      </c>
      <c r="Q5" s="33" t="s">
        <v>386</v>
      </c>
      <c r="R5" s="22"/>
      <c r="S5" s="22"/>
      <c r="T5" s="22"/>
      <c r="U5" s="22"/>
      <c r="V5" s="22"/>
      <c r="W5" s="22"/>
    </row>
    <row r="6" spans="2:38" x14ac:dyDescent="0.3">
      <c r="D6" s="9">
        <v>1</v>
      </c>
      <c r="E6" s="9">
        <v>7</v>
      </c>
      <c r="F6" s="9">
        <v>0</v>
      </c>
      <c r="G6" s="9">
        <v>7</v>
      </c>
      <c r="H6" s="9">
        <v>7</v>
      </c>
      <c r="I6" s="9">
        <v>6</v>
      </c>
      <c r="Q6" s="22"/>
      <c r="R6" s="21" t="s">
        <v>8</v>
      </c>
      <c r="S6" s="21" t="s">
        <v>7</v>
      </c>
      <c r="T6" s="21"/>
      <c r="U6" s="21" t="s">
        <v>8</v>
      </c>
      <c r="V6" s="21" t="s">
        <v>7</v>
      </c>
      <c r="W6" s="22"/>
    </row>
    <row r="7" spans="2:38" ht="19.8" customHeight="1" thickBot="1" x14ac:dyDescent="0.35">
      <c r="D7" s="36">
        <v>2</v>
      </c>
      <c r="E7" s="39">
        <v>3</v>
      </c>
      <c r="F7" s="36">
        <v>4</v>
      </c>
      <c r="G7" s="37">
        <v>5</v>
      </c>
      <c r="H7" s="39">
        <v>6</v>
      </c>
      <c r="I7" s="42">
        <v>7</v>
      </c>
      <c r="K7" s="43">
        <v>3</v>
      </c>
      <c r="L7" s="39">
        <v>4</v>
      </c>
      <c r="M7" s="43">
        <v>5</v>
      </c>
      <c r="N7" s="39">
        <v>6</v>
      </c>
      <c r="O7" s="38">
        <v>7</v>
      </c>
      <c r="P7" s="42">
        <v>8</v>
      </c>
      <c r="Q7" s="22"/>
      <c r="R7" s="21">
        <v>0</v>
      </c>
      <c r="S7" s="21">
        <v>0</v>
      </c>
      <c r="T7" s="21"/>
      <c r="U7" s="21">
        <v>0</v>
      </c>
      <c r="V7" s="21">
        <v>0</v>
      </c>
      <c r="W7" s="22"/>
      <c r="Y7" s="7">
        <f>IF(COUNTIF($D$7:$H$11,X7)&gt;0,IF(COUNTIF($D$6:$H$6,X7),0,1),0)</f>
        <v>0</v>
      </c>
      <c r="AC7" s="7" t="s">
        <v>20</v>
      </c>
      <c r="AD7" s="23">
        <v>20287</v>
      </c>
      <c r="AE7" s="7">
        <v>1</v>
      </c>
      <c r="AF7" s="7">
        <v>7</v>
      </c>
      <c r="AG7" s="7">
        <v>0</v>
      </c>
      <c r="AH7" s="7">
        <v>7</v>
      </c>
      <c r="AI7" s="7">
        <v>5</v>
      </c>
      <c r="AJ7" s="7">
        <v>5</v>
      </c>
      <c r="AK7" s="7" t="s">
        <v>10</v>
      </c>
      <c r="AL7" s="23">
        <f>DATE(RIGHT(AC7,4),LEFT(RIGHT(AC7,6),2),LEFT(RIGHT(AC7,8),2))</f>
        <v>20287</v>
      </c>
    </row>
    <row r="8" spans="2:38" ht="19.8" customHeight="1" thickBot="1" x14ac:dyDescent="0.35">
      <c r="D8" s="38">
        <v>1</v>
      </c>
      <c r="E8" s="40">
        <v>6</v>
      </c>
      <c r="F8" s="38">
        <v>0</v>
      </c>
      <c r="G8" s="38">
        <v>7</v>
      </c>
      <c r="H8" s="41">
        <v>8</v>
      </c>
      <c r="I8" s="41">
        <v>9</v>
      </c>
      <c r="K8" s="38">
        <v>1</v>
      </c>
      <c r="L8" s="44">
        <v>6</v>
      </c>
      <c r="M8" s="38">
        <v>0</v>
      </c>
      <c r="N8" s="45">
        <v>9</v>
      </c>
      <c r="O8" s="38">
        <v>7</v>
      </c>
      <c r="P8" s="46">
        <v>2</v>
      </c>
      <c r="Q8" s="22"/>
      <c r="R8" s="21">
        <v>1</v>
      </c>
      <c r="S8" s="21">
        <v>0</v>
      </c>
      <c r="T8" s="21"/>
      <c r="U8" s="21">
        <v>1</v>
      </c>
      <c r="V8" s="21">
        <v>0</v>
      </c>
      <c r="W8" s="22"/>
      <c r="Y8" s="7">
        <f t="shared" ref="Y8:Y16" si="0">IF(COUNTIF($D$7:$H$11,X8)&gt;0,IF(COUNTIF($D$6:$H$6,X8),0,1),0)</f>
        <v>0</v>
      </c>
      <c r="AC8" s="7" t="s">
        <v>21</v>
      </c>
      <c r="AD8" s="23">
        <v>22383</v>
      </c>
      <c r="AE8" s="7">
        <v>1</v>
      </c>
      <c r="AF8" s="7">
        <v>2</v>
      </c>
      <c r="AG8" s="7">
        <v>0</v>
      </c>
      <c r="AH8" s="7">
        <v>4</v>
      </c>
      <c r="AI8" s="7">
        <v>6</v>
      </c>
      <c r="AJ8" s="7">
        <v>1</v>
      </c>
      <c r="AK8" s="7" t="s">
        <v>11</v>
      </c>
      <c r="AL8" s="23">
        <f t="shared" ref="AL8:AL58" si="1">DATE(RIGHT(AC8,4),LEFT(RIGHT(AC8,6),2),LEFT(RIGHT(AC8,8),2))</f>
        <v>22383</v>
      </c>
    </row>
    <row r="9" spans="2:38" ht="19.8" customHeight="1" x14ac:dyDescent="0.3">
      <c r="B9"/>
      <c r="C9"/>
      <c r="D9" s="38">
        <v>1</v>
      </c>
      <c r="E9" s="38">
        <v>7</v>
      </c>
      <c r="F9" s="38">
        <v>0</v>
      </c>
      <c r="G9" s="38">
        <v>7</v>
      </c>
      <c r="H9" s="38">
        <v>7</v>
      </c>
      <c r="I9" s="38">
        <v>6</v>
      </c>
      <c r="K9" s="38">
        <v>1</v>
      </c>
      <c r="L9" s="38">
        <v>7</v>
      </c>
      <c r="M9" s="38">
        <v>0</v>
      </c>
      <c r="N9" s="38">
        <v>7</v>
      </c>
      <c r="O9" s="38">
        <v>7</v>
      </c>
      <c r="P9" s="38">
        <v>6</v>
      </c>
      <c r="Q9" s="22"/>
      <c r="R9" s="21">
        <v>2</v>
      </c>
      <c r="S9" s="21">
        <v>1</v>
      </c>
      <c r="T9" s="21"/>
      <c r="U9" s="21">
        <v>2</v>
      </c>
      <c r="V9" s="21">
        <v>1</v>
      </c>
      <c r="W9" s="22"/>
      <c r="Y9" s="7">
        <f t="shared" si="0"/>
        <v>0</v>
      </c>
      <c r="AC9" s="7" t="s">
        <v>22</v>
      </c>
      <c r="AD9" s="23">
        <v>25400</v>
      </c>
      <c r="AE9" s="7">
        <v>1</v>
      </c>
      <c r="AF9" s="7">
        <v>6</v>
      </c>
      <c r="AG9" s="7">
        <v>0</v>
      </c>
      <c r="AH9" s="7">
        <v>7</v>
      </c>
      <c r="AI9" s="7">
        <v>6</v>
      </c>
      <c r="AJ9" s="7">
        <v>9</v>
      </c>
      <c r="AK9" s="7" t="s">
        <v>12</v>
      </c>
      <c r="AL9" s="23">
        <f t="shared" si="1"/>
        <v>25400</v>
      </c>
    </row>
    <row r="10" spans="2:38" ht="19.8" customHeight="1" x14ac:dyDescent="0.3">
      <c r="B10"/>
      <c r="C10"/>
      <c r="D10"/>
      <c r="E10"/>
      <c r="F10"/>
      <c r="G10"/>
      <c r="H10"/>
      <c r="I10"/>
      <c r="K10"/>
      <c r="L10"/>
      <c r="M10"/>
      <c r="N10"/>
      <c r="O10"/>
      <c r="P10"/>
      <c r="Q10" s="22"/>
      <c r="R10" s="21">
        <v>3</v>
      </c>
      <c r="S10" s="21">
        <v>1</v>
      </c>
      <c r="T10" s="21"/>
      <c r="U10" s="21">
        <v>3</v>
      </c>
      <c r="V10" s="21">
        <v>1</v>
      </c>
      <c r="W10" s="22"/>
      <c r="Y10" s="7">
        <f t="shared" si="0"/>
        <v>0</v>
      </c>
      <c r="AC10" s="7" t="s">
        <v>28</v>
      </c>
      <c r="AD10" s="23">
        <v>28270</v>
      </c>
      <c r="AE10" s="7">
        <v>2</v>
      </c>
      <c r="AF10" s="7">
        <v>5</v>
      </c>
      <c r="AG10" s="7">
        <v>0</v>
      </c>
      <c r="AH10" s="7">
        <v>5</v>
      </c>
      <c r="AI10" s="7">
        <v>7</v>
      </c>
      <c r="AJ10" s="7">
        <v>7</v>
      </c>
      <c r="AK10" s="7" t="s">
        <v>19</v>
      </c>
      <c r="AL10" s="23">
        <f t="shared" si="1"/>
        <v>28270</v>
      </c>
    </row>
    <row r="11" spans="2:38" ht="19.8" customHeight="1" x14ac:dyDescent="0.3">
      <c r="B11"/>
      <c r="C11"/>
      <c r="D11"/>
      <c r="E11"/>
      <c r="F11"/>
      <c r="G11"/>
      <c r="H11"/>
      <c r="I11"/>
      <c r="K11"/>
      <c r="L11"/>
      <c r="M11"/>
      <c r="N11"/>
      <c r="O11"/>
      <c r="P11"/>
      <c r="Q11" s="22"/>
      <c r="R11" s="21">
        <v>4</v>
      </c>
      <c r="S11" s="21">
        <v>1</v>
      </c>
      <c r="T11" s="21"/>
      <c r="U11" s="21">
        <v>4</v>
      </c>
      <c r="V11" s="21">
        <v>1</v>
      </c>
      <c r="W11" s="22"/>
      <c r="Y11" s="7">
        <f t="shared" si="0"/>
        <v>0</v>
      </c>
      <c r="AC11" s="7" t="s">
        <v>25</v>
      </c>
      <c r="AD11" s="23">
        <v>26752</v>
      </c>
      <c r="AE11" s="7">
        <v>2</v>
      </c>
      <c r="AF11" s="7">
        <v>9</v>
      </c>
      <c r="AG11" s="7">
        <v>0</v>
      </c>
      <c r="AH11" s="7">
        <v>3</v>
      </c>
      <c r="AI11" s="7">
        <v>7</v>
      </c>
      <c r="AJ11" s="7">
        <v>3</v>
      </c>
      <c r="AK11" s="7" t="s">
        <v>15</v>
      </c>
      <c r="AL11" s="23">
        <f t="shared" si="1"/>
        <v>26752</v>
      </c>
    </row>
    <row r="12" spans="2:38" ht="19.8" customHeight="1" x14ac:dyDescent="0.3">
      <c r="B12"/>
      <c r="C12"/>
      <c r="D12"/>
      <c r="E12"/>
      <c r="F12"/>
      <c r="G12"/>
      <c r="H12"/>
      <c r="I12"/>
      <c r="K12"/>
      <c r="L12"/>
      <c r="M12"/>
      <c r="N12"/>
      <c r="O12"/>
      <c r="P12"/>
      <c r="Q12" s="22"/>
      <c r="R12" s="21">
        <v>5</v>
      </c>
      <c r="S12" s="21">
        <v>1</v>
      </c>
      <c r="T12" s="21"/>
      <c r="U12" s="21">
        <v>5</v>
      </c>
      <c r="V12" s="21">
        <v>1</v>
      </c>
      <c r="W12" s="22"/>
      <c r="Y12" s="7">
        <f t="shared" si="0"/>
        <v>0</v>
      </c>
      <c r="AC12" s="7" t="s">
        <v>26</v>
      </c>
      <c r="AD12" s="23">
        <v>22406</v>
      </c>
      <c r="AE12" s="7">
        <v>0</v>
      </c>
      <c r="AF12" s="7">
        <v>5</v>
      </c>
      <c r="AG12" s="7">
        <v>0</v>
      </c>
      <c r="AH12" s="7">
        <v>5</v>
      </c>
      <c r="AI12" s="7">
        <v>6</v>
      </c>
      <c r="AJ12" s="7">
        <v>1</v>
      </c>
      <c r="AK12" s="7" t="s">
        <v>17</v>
      </c>
      <c r="AL12" s="23">
        <f t="shared" si="1"/>
        <v>22406</v>
      </c>
    </row>
    <row r="13" spans="2:38" ht="19.8" customHeight="1" x14ac:dyDescent="0.3">
      <c r="B13"/>
      <c r="C13"/>
      <c r="D13"/>
      <c r="E13"/>
      <c r="F13"/>
      <c r="G13"/>
      <c r="H13"/>
      <c r="I13"/>
      <c r="K13"/>
      <c r="L13"/>
      <c r="M13"/>
      <c r="N13"/>
      <c r="O13"/>
      <c r="P13"/>
      <c r="Q13" s="22"/>
      <c r="R13" s="21">
        <v>6</v>
      </c>
      <c r="S13" s="21">
        <v>0</v>
      </c>
      <c r="T13" s="21"/>
      <c r="U13" s="21">
        <v>6</v>
      </c>
      <c r="V13" s="21">
        <v>0</v>
      </c>
      <c r="W13" s="22"/>
      <c r="Y13" s="7">
        <f t="shared" si="0"/>
        <v>0</v>
      </c>
      <c r="AC13" s="7" t="s">
        <v>27</v>
      </c>
      <c r="AD13" s="23">
        <v>27958</v>
      </c>
      <c r="AE13" s="7">
        <v>1</v>
      </c>
      <c r="AF13" s="7">
        <v>7</v>
      </c>
      <c r="AG13" s="7">
        <v>0</v>
      </c>
      <c r="AH13" s="7">
        <v>7</v>
      </c>
      <c r="AI13" s="7">
        <v>7</v>
      </c>
      <c r="AJ13" s="7">
        <v>6</v>
      </c>
      <c r="AK13" s="7" t="s">
        <v>18</v>
      </c>
      <c r="AL13" s="23">
        <f t="shared" si="1"/>
        <v>27958</v>
      </c>
    </row>
    <row r="14" spans="2:38" ht="19.8" customHeight="1" x14ac:dyDescent="0.3">
      <c r="D14"/>
      <c r="E14"/>
      <c r="F14"/>
      <c r="G14"/>
      <c r="H14"/>
      <c r="I14"/>
      <c r="K14"/>
      <c r="L14"/>
      <c r="M14"/>
      <c r="N14"/>
      <c r="O14"/>
      <c r="P14"/>
      <c r="Q14" s="22"/>
      <c r="R14" s="21">
        <v>7</v>
      </c>
      <c r="S14" s="21">
        <v>0</v>
      </c>
      <c r="T14" s="21"/>
      <c r="U14" s="21">
        <v>7</v>
      </c>
      <c r="V14" s="21">
        <v>0</v>
      </c>
      <c r="W14" s="22"/>
      <c r="Y14" s="7">
        <f t="shared" si="0"/>
        <v>0</v>
      </c>
      <c r="AC14" s="7" t="s">
        <v>23</v>
      </c>
      <c r="AD14" s="23">
        <v>27945</v>
      </c>
      <c r="AE14" s="7">
        <v>0</v>
      </c>
      <c r="AF14" s="7">
        <v>4</v>
      </c>
      <c r="AG14" s="7">
        <v>0</v>
      </c>
      <c r="AH14" s="7">
        <v>7</v>
      </c>
      <c r="AI14" s="7">
        <v>7</v>
      </c>
      <c r="AJ14" s="7">
        <v>6</v>
      </c>
      <c r="AK14" s="7" t="s">
        <v>13</v>
      </c>
      <c r="AL14" s="23">
        <f t="shared" si="1"/>
        <v>27945</v>
      </c>
    </row>
    <row r="15" spans="2:38" ht="19.8" customHeight="1" x14ac:dyDescent="0.3">
      <c r="D15"/>
      <c r="E15"/>
      <c r="F15"/>
      <c r="G15"/>
      <c r="H15"/>
      <c r="I15"/>
      <c r="K15"/>
      <c r="L15"/>
      <c r="M15"/>
      <c r="N15"/>
      <c r="O15"/>
      <c r="P15"/>
      <c r="Q15" s="22"/>
      <c r="R15" s="21">
        <v>8</v>
      </c>
      <c r="S15" s="21">
        <v>1</v>
      </c>
      <c r="T15" s="21"/>
      <c r="U15" s="21">
        <v>8</v>
      </c>
      <c r="V15" s="21">
        <v>1</v>
      </c>
      <c r="W15" s="22"/>
      <c r="Y15" s="7">
        <f t="shared" si="0"/>
        <v>0</v>
      </c>
      <c r="AC15" s="7" t="s">
        <v>24</v>
      </c>
      <c r="AD15" s="23">
        <v>23988</v>
      </c>
      <c r="AE15" s="7">
        <v>0</v>
      </c>
      <c r="AF15" s="7">
        <v>3</v>
      </c>
      <c r="AG15" s="7">
        <v>0</v>
      </c>
      <c r="AH15" s="7">
        <v>9</v>
      </c>
      <c r="AI15" s="7">
        <v>6</v>
      </c>
      <c r="AJ15" s="7">
        <v>5</v>
      </c>
      <c r="AK15" s="7" t="s">
        <v>14</v>
      </c>
      <c r="AL15" s="23">
        <f t="shared" si="1"/>
        <v>23988</v>
      </c>
    </row>
    <row r="16" spans="2:38" ht="19.8" customHeight="1" x14ac:dyDescent="0.3">
      <c r="D16"/>
      <c r="E16"/>
      <c r="F16"/>
      <c r="G16"/>
      <c r="H16"/>
      <c r="I16"/>
      <c r="K16"/>
      <c r="L16"/>
      <c r="M16"/>
      <c r="N16"/>
      <c r="O16"/>
      <c r="P16"/>
      <c r="Q16" s="22"/>
      <c r="R16" s="21">
        <v>9</v>
      </c>
      <c r="S16" s="21">
        <v>1</v>
      </c>
      <c r="T16" s="21"/>
      <c r="U16" s="21">
        <v>9</v>
      </c>
      <c r="V16" s="21">
        <v>1</v>
      </c>
      <c r="W16" s="22"/>
      <c r="Y16" s="7">
        <f t="shared" si="0"/>
        <v>0</v>
      </c>
      <c r="AC16" s="7" t="s">
        <v>72</v>
      </c>
      <c r="AD16" s="23">
        <v>21618</v>
      </c>
      <c r="AE16" s="7">
        <v>0</v>
      </c>
      <c r="AF16" s="7">
        <v>9</v>
      </c>
      <c r="AG16" s="7">
        <v>0</v>
      </c>
      <c r="AH16" s="7">
        <v>3</v>
      </c>
      <c r="AI16" s="7">
        <v>5</v>
      </c>
      <c r="AJ16" s="7">
        <v>9</v>
      </c>
      <c r="AK16" s="7" t="s">
        <v>16</v>
      </c>
      <c r="AL16" s="23">
        <f t="shared" si="1"/>
        <v>21618</v>
      </c>
    </row>
    <row r="17" spans="4:38" ht="19.8" customHeight="1" x14ac:dyDescent="0.3">
      <c r="D17"/>
      <c r="E17"/>
      <c r="F17"/>
      <c r="G17"/>
      <c r="H17"/>
      <c r="I17"/>
      <c r="K17"/>
      <c r="L17"/>
      <c r="M17"/>
      <c r="N17"/>
      <c r="O17"/>
      <c r="P17"/>
      <c r="Q17" s="22"/>
      <c r="R17" s="22"/>
      <c r="S17" s="22"/>
      <c r="T17" s="22"/>
      <c r="U17" s="22"/>
      <c r="V17" s="22"/>
      <c r="W17" s="22"/>
      <c r="AC17" s="7" t="s">
        <v>73</v>
      </c>
      <c r="AD17" s="23">
        <v>30529</v>
      </c>
      <c r="AE17" s="7">
        <v>0</v>
      </c>
      <c r="AF17" s="7">
        <v>1</v>
      </c>
      <c r="AG17" s="7">
        <v>0</v>
      </c>
      <c r="AH17" s="7">
        <v>8</v>
      </c>
      <c r="AI17" s="7">
        <v>8</v>
      </c>
      <c r="AJ17" s="7">
        <v>3</v>
      </c>
      <c r="AK17" s="7" t="s">
        <v>74</v>
      </c>
      <c r="AL17" s="23">
        <f t="shared" si="1"/>
        <v>30529</v>
      </c>
    </row>
    <row r="18" spans="4:38" ht="19.8" customHeight="1" x14ac:dyDescent="0.3">
      <c r="D18"/>
      <c r="E18"/>
      <c r="F18"/>
      <c r="G18"/>
      <c r="H18"/>
      <c r="I18"/>
      <c r="K18"/>
      <c r="L18"/>
      <c r="M18"/>
      <c r="N18"/>
      <c r="O18"/>
      <c r="P18"/>
      <c r="Q18" s="22"/>
      <c r="R18" s="22"/>
      <c r="S18" s="22"/>
      <c r="T18" s="22"/>
      <c r="U18" s="22"/>
      <c r="V18" s="22"/>
      <c r="W18" s="22"/>
      <c r="AC18" s="7" t="s">
        <v>75</v>
      </c>
      <c r="AD18" s="23">
        <v>19150</v>
      </c>
      <c r="AE18" s="7">
        <v>0</v>
      </c>
      <c r="AF18" s="7">
        <v>5</v>
      </c>
      <c r="AG18" s="7">
        <v>0</v>
      </c>
      <c r="AH18" s="7">
        <v>6</v>
      </c>
      <c r="AI18" s="7">
        <v>5</v>
      </c>
      <c r="AJ18" s="7">
        <v>2</v>
      </c>
      <c r="AK18" s="7" t="s">
        <v>76</v>
      </c>
      <c r="AL18" s="23">
        <f t="shared" si="1"/>
        <v>19150</v>
      </c>
    </row>
    <row r="19" spans="4:38" ht="19.8" customHeight="1" x14ac:dyDescent="0.3">
      <c r="D19"/>
      <c r="E19"/>
      <c r="F19"/>
      <c r="G19"/>
      <c r="H19"/>
      <c r="I19"/>
      <c r="K19"/>
      <c r="L19"/>
      <c r="M19"/>
      <c r="N19"/>
      <c r="O19"/>
      <c r="P19"/>
      <c r="Q19" s="22"/>
      <c r="R19" s="22"/>
      <c r="S19" s="22"/>
      <c r="T19" s="22"/>
      <c r="U19" s="22"/>
      <c r="V19" s="22"/>
      <c r="W19" s="22"/>
      <c r="AC19" s="7" t="s">
        <v>77</v>
      </c>
      <c r="AD19" s="23">
        <v>29799</v>
      </c>
      <c r="AE19" s="7">
        <v>0</v>
      </c>
      <c r="AF19" s="7">
        <v>1</v>
      </c>
      <c r="AG19" s="7">
        <v>0</v>
      </c>
      <c r="AH19" s="7">
        <v>8</v>
      </c>
      <c r="AI19" s="7">
        <v>8</v>
      </c>
      <c r="AJ19" s="7">
        <v>1</v>
      </c>
      <c r="AK19" s="7" t="s">
        <v>78</v>
      </c>
      <c r="AL19" s="23">
        <f t="shared" si="1"/>
        <v>29799</v>
      </c>
    </row>
    <row r="20" spans="4:38" ht="16.8" customHeight="1" x14ac:dyDescent="0.3">
      <c r="D20"/>
      <c r="E20"/>
      <c r="F20"/>
      <c r="G20"/>
      <c r="H20"/>
      <c r="I20"/>
      <c r="K20"/>
      <c r="L20"/>
      <c r="M20"/>
      <c r="N20"/>
      <c r="O20"/>
      <c r="P20"/>
      <c r="Q20" s="22"/>
      <c r="R20" s="22"/>
      <c r="S20" s="22"/>
      <c r="T20" s="22"/>
      <c r="U20" s="22"/>
      <c r="V20" s="22"/>
      <c r="W20" s="22"/>
      <c r="AC20" s="7" t="s">
        <v>79</v>
      </c>
      <c r="AD20" s="23">
        <v>31291</v>
      </c>
      <c r="AE20" s="7">
        <v>0</v>
      </c>
      <c r="AF20" s="7">
        <v>1</v>
      </c>
      <c r="AG20" s="7">
        <v>0</v>
      </c>
      <c r="AH20" s="7">
        <v>9</v>
      </c>
      <c r="AI20" s="7">
        <v>8</v>
      </c>
      <c r="AJ20" s="7">
        <v>5</v>
      </c>
      <c r="AK20" s="7" t="s">
        <v>80</v>
      </c>
      <c r="AL20" s="23">
        <f t="shared" si="1"/>
        <v>31291</v>
      </c>
    </row>
    <row r="21" spans="4:38" x14ac:dyDescent="0.3">
      <c r="D21"/>
      <c r="E21"/>
      <c r="F21"/>
      <c r="G21"/>
      <c r="H21"/>
      <c r="I21"/>
      <c r="K21"/>
      <c r="L21"/>
      <c r="M21"/>
      <c r="N21"/>
      <c r="O21"/>
      <c r="P21"/>
      <c r="Q21" s="22"/>
      <c r="R21" s="22"/>
      <c r="S21" s="22"/>
      <c r="T21" s="22"/>
      <c r="U21" s="22"/>
      <c r="V21" s="22"/>
      <c r="W21" s="22"/>
      <c r="AC21" s="7" t="s">
        <v>81</v>
      </c>
      <c r="AD21" s="23">
        <v>32619</v>
      </c>
      <c r="AE21" s="7">
        <v>2</v>
      </c>
      <c r="AF21" s="7">
        <v>1</v>
      </c>
      <c r="AG21" s="7">
        <v>0</v>
      </c>
      <c r="AH21" s="7">
        <v>4</v>
      </c>
      <c r="AI21" s="7">
        <v>8</v>
      </c>
      <c r="AJ21" s="7">
        <v>9</v>
      </c>
      <c r="AK21" s="7" t="s">
        <v>82</v>
      </c>
      <c r="AL21" s="23">
        <f t="shared" si="1"/>
        <v>32619</v>
      </c>
    </row>
    <row r="22" spans="4:38" x14ac:dyDescent="0.3">
      <c r="D22"/>
      <c r="E22"/>
      <c r="F22"/>
      <c r="G22"/>
      <c r="H22"/>
      <c r="I22"/>
      <c r="K22"/>
      <c r="L22"/>
      <c r="M22"/>
      <c r="N22"/>
      <c r="O22"/>
      <c r="P22"/>
      <c r="Q22" s="22"/>
      <c r="R22" s="22"/>
      <c r="S22" s="22"/>
      <c r="T22" s="22"/>
      <c r="U22" s="22"/>
      <c r="V22" s="22"/>
      <c r="W22" s="22"/>
      <c r="AC22" s="7" t="s">
        <v>83</v>
      </c>
      <c r="AD22" s="23">
        <v>32987</v>
      </c>
      <c r="AE22" s="7">
        <v>2</v>
      </c>
      <c r="AF22" s="7">
        <v>4</v>
      </c>
      <c r="AG22" s="7">
        <v>0</v>
      </c>
      <c r="AH22" s="7">
        <v>4</v>
      </c>
      <c r="AI22" s="7">
        <v>9</v>
      </c>
      <c r="AJ22" s="7">
        <v>0</v>
      </c>
      <c r="AK22" s="7" t="s">
        <v>84</v>
      </c>
      <c r="AL22" s="23">
        <f t="shared" si="1"/>
        <v>32987</v>
      </c>
    </row>
    <row r="23" spans="4:38" x14ac:dyDescent="0.3">
      <c r="D23"/>
      <c r="E23"/>
      <c r="F23"/>
      <c r="G23"/>
      <c r="H23"/>
      <c r="I23"/>
      <c r="K23"/>
      <c r="L23"/>
      <c r="M23"/>
      <c r="N23"/>
      <c r="O23"/>
      <c r="P23"/>
      <c r="Q23" s="22"/>
      <c r="R23" s="22"/>
      <c r="S23" s="22"/>
      <c r="T23" s="22"/>
      <c r="U23" s="22"/>
      <c r="V23" s="22"/>
      <c r="W23" s="22"/>
      <c r="AC23" s="7" t="s">
        <v>85</v>
      </c>
      <c r="AD23" s="23">
        <v>33456</v>
      </c>
      <c r="AE23" s="7">
        <v>0</v>
      </c>
      <c r="AF23" s="7">
        <v>6</v>
      </c>
      <c r="AG23" s="7">
        <v>0</v>
      </c>
      <c r="AH23" s="7">
        <v>8</v>
      </c>
      <c r="AI23" s="7">
        <v>9</v>
      </c>
      <c r="AJ23" s="7">
        <v>1</v>
      </c>
      <c r="AK23" s="7" t="s">
        <v>86</v>
      </c>
      <c r="AL23" s="23">
        <f t="shared" si="1"/>
        <v>33456</v>
      </c>
    </row>
    <row r="24" spans="4:38" x14ac:dyDescent="0.3">
      <c r="D24"/>
      <c r="E24"/>
      <c r="F24"/>
      <c r="G24"/>
      <c r="H24"/>
      <c r="I24"/>
      <c r="K24"/>
      <c r="L24"/>
      <c r="M24"/>
      <c r="N24"/>
      <c r="O24"/>
      <c r="P24"/>
      <c r="Q24" s="22"/>
      <c r="R24" s="22"/>
      <c r="S24" s="22"/>
      <c r="T24" s="22"/>
      <c r="U24" s="22"/>
      <c r="V24" s="22"/>
      <c r="W24" s="22"/>
      <c r="AC24" s="7" t="s">
        <v>87</v>
      </c>
      <c r="AD24" s="23">
        <v>34842</v>
      </c>
      <c r="AE24" s="7">
        <v>2</v>
      </c>
      <c r="AF24" s="7">
        <v>3</v>
      </c>
      <c r="AG24" s="7">
        <v>0</v>
      </c>
      <c r="AH24" s="7">
        <v>5</v>
      </c>
      <c r="AI24" s="7">
        <v>9</v>
      </c>
      <c r="AJ24" s="7">
        <v>5</v>
      </c>
      <c r="AK24" s="7" t="s">
        <v>88</v>
      </c>
      <c r="AL24" s="23">
        <f t="shared" si="1"/>
        <v>34842</v>
      </c>
    </row>
    <row r="25" spans="4:38" x14ac:dyDescent="0.3">
      <c r="D25"/>
      <c r="E25"/>
      <c r="F25"/>
      <c r="G25"/>
      <c r="H25"/>
      <c r="I25"/>
      <c r="K25"/>
      <c r="L25"/>
      <c r="M25"/>
      <c r="N25"/>
      <c r="O25"/>
      <c r="P25"/>
      <c r="AC25" s="7" t="s">
        <v>89</v>
      </c>
      <c r="AD25" s="23">
        <v>35250</v>
      </c>
      <c r="AE25" s="7">
        <v>0</v>
      </c>
      <c r="AF25" s="7">
        <v>4</v>
      </c>
      <c r="AG25" s="7">
        <v>0</v>
      </c>
      <c r="AH25" s="7">
        <v>7</v>
      </c>
      <c r="AI25" s="7">
        <v>9</v>
      </c>
      <c r="AJ25" s="7">
        <v>6</v>
      </c>
      <c r="AK25" s="7" t="s">
        <v>90</v>
      </c>
      <c r="AL25" s="23">
        <f t="shared" si="1"/>
        <v>35250</v>
      </c>
    </row>
    <row r="26" spans="4:38" x14ac:dyDescent="0.3">
      <c r="D26"/>
      <c r="E26"/>
      <c r="F26"/>
      <c r="G26"/>
      <c r="H26"/>
      <c r="I26"/>
      <c r="K26"/>
      <c r="L26"/>
      <c r="M26"/>
      <c r="N26"/>
      <c r="O26"/>
      <c r="P26"/>
      <c r="AC26" s="7" t="s">
        <v>91</v>
      </c>
      <c r="AD26" s="23">
        <v>35615</v>
      </c>
      <c r="AE26" s="7">
        <v>0</v>
      </c>
      <c r="AF26" s="7">
        <v>4</v>
      </c>
      <c r="AG26" s="7">
        <v>0</v>
      </c>
      <c r="AH26" s="7">
        <v>7</v>
      </c>
      <c r="AI26" s="7">
        <v>9</v>
      </c>
      <c r="AJ26" s="7">
        <v>7</v>
      </c>
      <c r="AK26" s="7" t="s">
        <v>92</v>
      </c>
      <c r="AL26" s="23">
        <f t="shared" si="1"/>
        <v>35615</v>
      </c>
    </row>
    <row r="27" spans="4:38" x14ac:dyDescent="0.3">
      <c r="D27"/>
      <c r="E27"/>
      <c r="F27"/>
      <c r="G27"/>
      <c r="H27"/>
      <c r="I27"/>
      <c r="K27"/>
      <c r="L27"/>
      <c r="M27"/>
      <c r="N27"/>
      <c r="O27"/>
      <c r="P27"/>
      <c r="AC27" s="7" t="s">
        <v>93</v>
      </c>
      <c r="AD27" s="23">
        <v>36042</v>
      </c>
      <c r="AE27" s="7">
        <v>0</v>
      </c>
      <c r="AF27" s="7">
        <v>4</v>
      </c>
      <c r="AG27" s="7">
        <v>0</v>
      </c>
      <c r="AH27" s="7">
        <v>9</v>
      </c>
      <c r="AI27" s="7">
        <v>9</v>
      </c>
      <c r="AJ27" s="7">
        <v>8</v>
      </c>
      <c r="AK27" s="7" t="s">
        <v>94</v>
      </c>
      <c r="AL27" s="23">
        <f t="shared" si="1"/>
        <v>36042</v>
      </c>
    </row>
    <row r="28" spans="4:38" x14ac:dyDescent="0.3">
      <c r="D28"/>
      <c r="E28"/>
      <c r="F28"/>
      <c r="G28"/>
      <c r="H28"/>
      <c r="I28"/>
      <c r="K28"/>
      <c r="L28"/>
      <c r="M28"/>
      <c r="N28"/>
      <c r="O28"/>
      <c r="P28"/>
      <c r="AC28" s="7" t="s">
        <v>95</v>
      </c>
      <c r="AD28" s="23">
        <v>36410</v>
      </c>
      <c r="AE28" s="7">
        <v>0</v>
      </c>
      <c r="AF28" s="7">
        <v>7</v>
      </c>
      <c r="AG28" s="7">
        <v>0</v>
      </c>
      <c r="AH28" s="7">
        <v>9</v>
      </c>
      <c r="AI28" s="7">
        <v>9</v>
      </c>
      <c r="AJ28" s="7">
        <v>9</v>
      </c>
      <c r="AK28" s="7" t="s">
        <v>96</v>
      </c>
      <c r="AL28" s="23">
        <f t="shared" si="1"/>
        <v>36410</v>
      </c>
    </row>
    <row r="29" spans="4:38" x14ac:dyDescent="0.3">
      <c r="D29"/>
      <c r="E29"/>
      <c r="F29"/>
      <c r="G29"/>
      <c r="H29"/>
      <c r="I29"/>
      <c r="K29"/>
      <c r="L29"/>
      <c r="M29"/>
      <c r="N29"/>
      <c r="O29"/>
      <c r="P29"/>
      <c r="AC29" s="7" t="s">
        <v>97</v>
      </c>
      <c r="AD29" s="23">
        <v>37060</v>
      </c>
      <c r="AE29" s="7">
        <v>1</v>
      </c>
      <c r="AF29" s="7">
        <v>8</v>
      </c>
      <c r="AG29" s="7">
        <v>0</v>
      </c>
      <c r="AH29" s="7">
        <v>6</v>
      </c>
      <c r="AI29" s="7">
        <v>0</v>
      </c>
      <c r="AJ29" s="7">
        <v>1</v>
      </c>
      <c r="AK29" s="7" t="s">
        <v>98</v>
      </c>
      <c r="AL29" s="23">
        <f t="shared" si="1"/>
        <v>37060</v>
      </c>
    </row>
    <row r="30" spans="4:38" x14ac:dyDescent="0.3">
      <c r="D30"/>
      <c r="E30"/>
      <c r="F30"/>
      <c r="G30"/>
      <c r="H30"/>
      <c r="I30"/>
      <c r="K30"/>
      <c r="L30"/>
      <c r="M30"/>
      <c r="N30"/>
      <c r="O30"/>
      <c r="P30"/>
      <c r="AC30" s="7" t="s">
        <v>99</v>
      </c>
      <c r="AD30" s="23">
        <v>37725</v>
      </c>
      <c r="AE30" s="7">
        <v>1</v>
      </c>
      <c r="AF30" s="7">
        <v>4</v>
      </c>
      <c r="AG30" s="7">
        <v>0</v>
      </c>
      <c r="AH30" s="7">
        <v>4</v>
      </c>
      <c r="AI30" s="7">
        <v>0</v>
      </c>
      <c r="AJ30" s="7">
        <v>3</v>
      </c>
      <c r="AK30" s="7" t="s">
        <v>100</v>
      </c>
      <c r="AL30" s="23">
        <f t="shared" si="1"/>
        <v>37725</v>
      </c>
    </row>
    <row r="31" spans="4:38" x14ac:dyDescent="0.3">
      <c r="D31"/>
      <c r="E31"/>
      <c r="F31"/>
      <c r="G31"/>
      <c r="H31"/>
      <c r="I31"/>
      <c r="K31"/>
      <c r="L31"/>
      <c r="M31"/>
      <c r="N31"/>
      <c r="O31"/>
      <c r="P31"/>
      <c r="AC31" s="7" t="s">
        <v>101</v>
      </c>
      <c r="AD31" s="23">
        <v>38021</v>
      </c>
      <c r="AE31" s="7">
        <v>0</v>
      </c>
      <c r="AF31" s="7">
        <v>4</v>
      </c>
      <c r="AG31" s="7">
        <v>0</v>
      </c>
      <c r="AH31" s="7">
        <v>2</v>
      </c>
      <c r="AI31" s="7">
        <v>0</v>
      </c>
      <c r="AJ31" s="7">
        <v>4</v>
      </c>
      <c r="AK31" s="7" t="s">
        <v>102</v>
      </c>
      <c r="AL31" s="23">
        <f t="shared" si="1"/>
        <v>38021</v>
      </c>
    </row>
    <row r="32" spans="4:38" x14ac:dyDescent="0.3">
      <c r="D32"/>
      <c r="E32"/>
      <c r="F32"/>
      <c r="G32"/>
      <c r="H32"/>
      <c r="I32"/>
      <c r="K32"/>
      <c r="L32"/>
      <c r="M32"/>
      <c r="N32"/>
      <c r="O32"/>
      <c r="P32"/>
      <c r="AC32" s="7" t="s">
        <v>103</v>
      </c>
      <c r="AD32" s="23">
        <v>38397</v>
      </c>
      <c r="AE32" s="7">
        <v>1</v>
      </c>
      <c r="AF32" s="7">
        <v>4</v>
      </c>
      <c r="AG32" s="7">
        <v>0</v>
      </c>
      <c r="AH32" s="7">
        <v>2</v>
      </c>
      <c r="AI32" s="7">
        <v>0</v>
      </c>
      <c r="AJ32" s="7">
        <v>5</v>
      </c>
      <c r="AK32" s="7" t="s">
        <v>104</v>
      </c>
      <c r="AL32" s="23">
        <f t="shared" si="1"/>
        <v>38397</v>
      </c>
    </row>
    <row r="33" spans="4:38" x14ac:dyDescent="0.3">
      <c r="D33"/>
      <c r="E33"/>
      <c r="F33"/>
      <c r="G33"/>
      <c r="H33"/>
      <c r="I33"/>
      <c r="K33"/>
      <c r="L33"/>
      <c r="M33"/>
      <c r="N33"/>
      <c r="O33"/>
      <c r="P33"/>
      <c r="AC33" s="7" t="s">
        <v>105</v>
      </c>
      <c r="AD33" s="23">
        <v>38797</v>
      </c>
      <c r="AE33" s="7">
        <v>2</v>
      </c>
      <c r="AF33" s="7">
        <v>1</v>
      </c>
      <c r="AG33" s="7">
        <v>0</v>
      </c>
      <c r="AH33" s="7">
        <v>3</v>
      </c>
      <c r="AI33" s="7">
        <v>0</v>
      </c>
      <c r="AJ33" s="7">
        <v>6</v>
      </c>
      <c r="AK33" s="7" t="s">
        <v>106</v>
      </c>
      <c r="AL33" s="23">
        <f t="shared" si="1"/>
        <v>38797</v>
      </c>
    </row>
    <row r="34" spans="4:38" x14ac:dyDescent="0.3">
      <c r="D34"/>
      <c r="E34"/>
      <c r="F34"/>
      <c r="G34"/>
      <c r="H34"/>
      <c r="I34"/>
      <c r="K34"/>
      <c r="L34"/>
      <c r="M34"/>
      <c r="N34"/>
      <c r="O34"/>
      <c r="P34"/>
      <c r="AC34" s="7" t="s">
        <v>107</v>
      </c>
      <c r="AD34" s="23">
        <v>39091</v>
      </c>
      <c r="AE34" s="7">
        <v>0</v>
      </c>
      <c r="AF34" s="7">
        <v>9</v>
      </c>
      <c r="AG34" s="7">
        <v>0</v>
      </c>
      <c r="AH34" s="7">
        <v>1</v>
      </c>
      <c r="AI34" s="7">
        <v>0</v>
      </c>
      <c r="AJ34" s="7">
        <v>7</v>
      </c>
      <c r="AK34" s="7" t="s">
        <v>108</v>
      </c>
      <c r="AL34" s="23">
        <f t="shared" si="1"/>
        <v>39091</v>
      </c>
    </row>
    <row r="35" spans="4:38" x14ac:dyDescent="0.3">
      <c r="D35"/>
      <c r="E35"/>
      <c r="F35"/>
      <c r="G35"/>
      <c r="H35"/>
      <c r="I35"/>
      <c r="K35"/>
      <c r="L35"/>
      <c r="M35"/>
      <c r="N35"/>
      <c r="O35"/>
      <c r="P35"/>
      <c r="AC35" s="7" t="s">
        <v>109</v>
      </c>
      <c r="AD35" s="23">
        <v>39454</v>
      </c>
      <c r="AE35" s="7">
        <v>0</v>
      </c>
      <c r="AF35" s="7">
        <v>7</v>
      </c>
      <c r="AG35" s="7">
        <v>0</v>
      </c>
      <c r="AH35" s="7">
        <v>1</v>
      </c>
      <c r="AI35" s="7">
        <v>0</v>
      </c>
      <c r="AJ35" s="7">
        <v>8</v>
      </c>
      <c r="AK35" s="7" t="s">
        <v>110</v>
      </c>
      <c r="AL35" s="23">
        <f t="shared" si="1"/>
        <v>39454</v>
      </c>
    </row>
    <row r="36" spans="4:38" x14ac:dyDescent="0.3">
      <c r="D36"/>
      <c r="E36"/>
      <c r="F36"/>
      <c r="G36"/>
      <c r="H36"/>
      <c r="I36"/>
      <c r="K36"/>
      <c r="L36"/>
      <c r="M36"/>
      <c r="N36"/>
      <c r="O36"/>
      <c r="P36"/>
      <c r="AC36" s="7" t="s">
        <v>111</v>
      </c>
      <c r="AD36" s="23">
        <v>39816</v>
      </c>
      <c r="AE36" s="7">
        <v>0</v>
      </c>
      <c r="AF36" s="7">
        <v>3</v>
      </c>
      <c r="AG36" s="7">
        <v>0</v>
      </c>
      <c r="AH36" s="7">
        <v>1</v>
      </c>
      <c r="AI36" s="7">
        <v>0</v>
      </c>
      <c r="AJ36" s="7">
        <v>9</v>
      </c>
      <c r="AK36" s="7" t="s">
        <v>112</v>
      </c>
      <c r="AL36" s="23">
        <f t="shared" si="1"/>
        <v>39816</v>
      </c>
    </row>
    <row r="37" spans="4:38" x14ac:dyDescent="0.3">
      <c r="D37"/>
      <c r="E37"/>
      <c r="F37"/>
      <c r="G37"/>
      <c r="H37"/>
      <c r="I37"/>
      <c r="K37"/>
      <c r="L37"/>
      <c r="M37"/>
      <c r="N37"/>
      <c r="O37"/>
      <c r="P37"/>
      <c r="AC37" s="7" t="s">
        <v>113</v>
      </c>
      <c r="AD37" s="23">
        <v>40184</v>
      </c>
      <c r="AE37" s="7">
        <v>0</v>
      </c>
      <c r="AF37" s="7">
        <v>6</v>
      </c>
      <c r="AG37" s="7">
        <v>0</v>
      </c>
      <c r="AH37" s="7">
        <v>1</v>
      </c>
      <c r="AI37" s="7">
        <v>1</v>
      </c>
      <c r="AJ37" s="7">
        <v>0</v>
      </c>
      <c r="AK37" s="7" t="s">
        <v>114</v>
      </c>
      <c r="AL37" s="23">
        <f t="shared" si="1"/>
        <v>40184</v>
      </c>
    </row>
    <row r="38" spans="4:38" x14ac:dyDescent="0.3">
      <c r="D38"/>
      <c r="E38"/>
      <c r="F38"/>
      <c r="G38"/>
      <c r="H38"/>
      <c r="I38"/>
      <c r="K38"/>
      <c r="L38"/>
      <c r="M38"/>
      <c r="N38"/>
      <c r="O38"/>
      <c r="P38"/>
      <c r="AC38" s="7" t="s">
        <v>115</v>
      </c>
      <c r="AD38" s="23">
        <v>40590</v>
      </c>
      <c r="AE38" s="7">
        <v>1</v>
      </c>
      <c r="AF38" s="7">
        <v>6</v>
      </c>
      <c r="AG38" s="7">
        <v>0</v>
      </c>
      <c r="AH38" s="7">
        <v>2</v>
      </c>
      <c r="AI38" s="7">
        <v>1</v>
      </c>
      <c r="AJ38" s="7">
        <v>1</v>
      </c>
      <c r="AK38" s="7" t="s">
        <v>116</v>
      </c>
      <c r="AL38" s="23">
        <f t="shared" si="1"/>
        <v>40590</v>
      </c>
    </row>
    <row r="39" spans="4:38" x14ac:dyDescent="0.3">
      <c r="D39"/>
      <c r="E39"/>
      <c r="F39"/>
      <c r="G39"/>
      <c r="H39"/>
      <c r="I39"/>
      <c r="K39"/>
      <c r="L39"/>
      <c r="M39"/>
      <c r="N39"/>
      <c r="O39"/>
      <c r="P39"/>
      <c r="AC39" s="7" t="s">
        <v>117</v>
      </c>
      <c r="AD39" s="23">
        <v>41126</v>
      </c>
      <c r="AE39" s="7">
        <v>0</v>
      </c>
      <c r="AF39" s="7">
        <v>5</v>
      </c>
      <c r="AG39" s="7">
        <v>0</v>
      </c>
      <c r="AH39" s="7">
        <v>8</v>
      </c>
      <c r="AI39" s="7">
        <v>1</v>
      </c>
      <c r="AJ39" s="7">
        <v>2</v>
      </c>
      <c r="AK39" s="7" t="s">
        <v>118</v>
      </c>
      <c r="AL39" s="23">
        <f t="shared" si="1"/>
        <v>41126</v>
      </c>
    </row>
    <row r="40" spans="4:38" x14ac:dyDescent="0.3">
      <c r="D40"/>
      <c r="E40"/>
      <c r="F40"/>
      <c r="G40"/>
      <c r="H40"/>
      <c r="I40"/>
      <c r="K40"/>
      <c r="L40"/>
      <c r="M40"/>
      <c r="N40"/>
      <c r="O40"/>
      <c r="P40"/>
      <c r="AC40" s="7" t="s">
        <v>119</v>
      </c>
      <c r="AD40" s="23">
        <v>41400</v>
      </c>
      <c r="AE40" s="7">
        <v>0</v>
      </c>
      <c r="AF40" s="7">
        <v>6</v>
      </c>
      <c r="AG40" s="7">
        <v>0</v>
      </c>
      <c r="AH40" s="7">
        <v>5</v>
      </c>
      <c r="AI40" s="7">
        <v>1</v>
      </c>
      <c r="AJ40" s="7">
        <v>3</v>
      </c>
      <c r="AK40" s="7" t="s">
        <v>120</v>
      </c>
      <c r="AL40" s="23">
        <f t="shared" si="1"/>
        <v>41400</v>
      </c>
    </row>
    <row r="41" spans="4:38" x14ac:dyDescent="0.3">
      <c r="D41"/>
      <c r="E41"/>
      <c r="F41"/>
      <c r="G41"/>
      <c r="H41"/>
      <c r="I41"/>
      <c r="K41"/>
      <c r="L41"/>
      <c r="M41"/>
      <c r="N41"/>
      <c r="O41"/>
      <c r="P41"/>
      <c r="AC41" s="7" t="s">
        <v>121</v>
      </c>
      <c r="AD41" s="23">
        <v>41842</v>
      </c>
      <c r="AE41" s="7">
        <v>2</v>
      </c>
      <c r="AF41" s="7">
        <v>2</v>
      </c>
      <c r="AG41" s="7">
        <v>0</v>
      </c>
      <c r="AH41" s="7">
        <v>7</v>
      </c>
      <c r="AI41" s="7">
        <v>1</v>
      </c>
      <c r="AJ41" s="7">
        <v>4</v>
      </c>
      <c r="AK41" s="7" t="s">
        <v>122</v>
      </c>
      <c r="AL41" s="23">
        <f t="shared" si="1"/>
        <v>41842</v>
      </c>
    </row>
    <row r="42" spans="4:38" x14ac:dyDescent="0.3">
      <c r="D42"/>
      <c r="E42"/>
      <c r="F42"/>
      <c r="G42"/>
      <c r="H42"/>
      <c r="I42"/>
      <c r="K42"/>
      <c r="L42"/>
      <c r="M42"/>
      <c r="N42"/>
      <c r="O42"/>
      <c r="P42"/>
      <c r="AC42" s="7" t="s">
        <v>123</v>
      </c>
      <c r="AD42" s="23">
        <v>42025</v>
      </c>
      <c r="AE42" s="7">
        <v>2</v>
      </c>
      <c r="AF42" s="7">
        <v>1</v>
      </c>
      <c r="AG42" s="7">
        <v>0</v>
      </c>
      <c r="AH42" s="7">
        <v>1</v>
      </c>
      <c r="AI42" s="7">
        <v>1</v>
      </c>
      <c r="AJ42" s="7">
        <v>5</v>
      </c>
      <c r="AK42" s="7" t="s">
        <v>124</v>
      </c>
      <c r="AL42" s="23">
        <f t="shared" si="1"/>
        <v>42025</v>
      </c>
    </row>
    <row r="43" spans="4:38" x14ac:dyDescent="0.3">
      <c r="D43"/>
      <c r="E43"/>
      <c r="F43"/>
      <c r="G43"/>
      <c r="H43"/>
      <c r="I43"/>
      <c r="K43"/>
      <c r="L43"/>
      <c r="M43"/>
      <c r="N43"/>
      <c r="O43"/>
      <c r="P43"/>
      <c r="AC43" s="7" t="s">
        <v>125</v>
      </c>
      <c r="AD43" s="23">
        <v>42522</v>
      </c>
      <c r="AE43" s="7">
        <v>0</v>
      </c>
      <c r="AF43" s="7">
        <v>1</v>
      </c>
      <c r="AG43" s="7">
        <v>0</v>
      </c>
      <c r="AH43" s="7">
        <v>6</v>
      </c>
      <c r="AI43" s="7">
        <v>1</v>
      </c>
      <c r="AJ43" s="7">
        <v>6</v>
      </c>
      <c r="AK43" s="7" t="s">
        <v>126</v>
      </c>
      <c r="AL43" s="23">
        <f t="shared" si="1"/>
        <v>42522</v>
      </c>
    </row>
    <row r="44" spans="4:38" x14ac:dyDescent="0.3">
      <c r="D44"/>
      <c r="E44"/>
      <c r="F44"/>
      <c r="G44"/>
      <c r="H44"/>
      <c r="I44"/>
      <c r="K44"/>
      <c r="L44"/>
      <c r="M44"/>
      <c r="N44"/>
      <c r="O44"/>
      <c r="P44"/>
      <c r="AC44" s="7" t="s">
        <v>127</v>
      </c>
      <c r="AD44" s="23">
        <v>42948</v>
      </c>
      <c r="AE44" s="7">
        <v>0</v>
      </c>
      <c r="AF44" s="7">
        <v>1</v>
      </c>
      <c r="AG44" s="7">
        <v>0</v>
      </c>
      <c r="AH44" s="7">
        <v>8</v>
      </c>
      <c r="AI44" s="7">
        <v>1</v>
      </c>
      <c r="AJ44" s="7">
        <v>7</v>
      </c>
      <c r="AK44" s="7" t="s">
        <v>128</v>
      </c>
      <c r="AL44" s="23">
        <f t="shared" si="1"/>
        <v>42948</v>
      </c>
    </row>
    <row r="45" spans="4:38" x14ac:dyDescent="0.3">
      <c r="D45"/>
      <c r="E45"/>
      <c r="F45"/>
      <c r="G45"/>
      <c r="H45"/>
      <c r="I45"/>
      <c r="K45"/>
      <c r="L45"/>
      <c r="M45"/>
      <c r="N45"/>
      <c r="O45"/>
      <c r="P45"/>
      <c r="AC45" s="7" t="s">
        <v>129</v>
      </c>
      <c r="AD45" s="23">
        <v>43256</v>
      </c>
      <c r="AE45" s="7">
        <v>0</v>
      </c>
      <c r="AF45" s="7">
        <v>5</v>
      </c>
      <c r="AG45" s="7">
        <v>0</v>
      </c>
      <c r="AH45" s="7">
        <v>6</v>
      </c>
      <c r="AI45" s="7">
        <v>1</v>
      </c>
      <c r="AJ45" s="7">
        <v>8</v>
      </c>
      <c r="AK45" s="7" t="s">
        <v>130</v>
      </c>
      <c r="AL45" s="23">
        <f t="shared" si="1"/>
        <v>43256</v>
      </c>
    </row>
    <row r="46" spans="4:38" x14ac:dyDescent="0.3">
      <c r="D46"/>
      <c r="E46"/>
      <c r="F46"/>
      <c r="G46"/>
      <c r="H46"/>
      <c r="I46"/>
      <c r="K46"/>
      <c r="L46"/>
      <c r="M46"/>
      <c r="N46"/>
      <c r="O46"/>
      <c r="P46"/>
      <c r="AC46" s="7" t="s">
        <v>131</v>
      </c>
      <c r="AD46" s="23">
        <v>43565</v>
      </c>
      <c r="AE46" s="7">
        <v>1</v>
      </c>
      <c r="AF46" s="7">
        <v>0</v>
      </c>
      <c r="AG46" s="7">
        <v>0</v>
      </c>
      <c r="AH46" s="7">
        <v>4</v>
      </c>
      <c r="AI46" s="7">
        <v>1</v>
      </c>
      <c r="AJ46" s="7">
        <v>9</v>
      </c>
      <c r="AK46" s="7" t="s">
        <v>132</v>
      </c>
      <c r="AL46" s="23">
        <f t="shared" si="1"/>
        <v>43565</v>
      </c>
    </row>
    <row r="47" spans="4:38" x14ac:dyDescent="0.3">
      <c r="D47"/>
      <c r="E47"/>
      <c r="F47"/>
      <c r="G47"/>
      <c r="H47"/>
      <c r="I47"/>
      <c r="K47"/>
      <c r="L47"/>
      <c r="M47"/>
      <c r="N47"/>
      <c r="O47"/>
      <c r="P47"/>
      <c r="AC47" s="7" t="s">
        <v>133</v>
      </c>
      <c r="AD47" s="23">
        <v>44305</v>
      </c>
      <c r="AE47" s="7">
        <v>1</v>
      </c>
      <c r="AF47" s="7">
        <v>9</v>
      </c>
      <c r="AG47" s="7">
        <v>0</v>
      </c>
      <c r="AH47" s="7">
        <v>4</v>
      </c>
      <c r="AI47" s="7">
        <v>2</v>
      </c>
      <c r="AJ47" s="7">
        <v>1</v>
      </c>
      <c r="AK47" s="7" t="s">
        <v>134</v>
      </c>
      <c r="AL47" s="23">
        <f t="shared" si="1"/>
        <v>44305</v>
      </c>
    </row>
    <row r="48" spans="4:38" x14ac:dyDescent="0.3">
      <c r="D48"/>
      <c r="E48"/>
      <c r="F48"/>
      <c r="G48"/>
      <c r="H48"/>
      <c r="I48"/>
      <c r="K48"/>
      <c r="L48"/>
      <c r="M48"/>
      <c r="N48"/>
      <c r="O48"/>
      <c r="P48"/>
      <c r="AC48" s="7" t="s">
        <v>135</v>
      </c>
      <c r="AD48" s="23">
        <v>44754</v>
      </c>
      <c r="AE48" s="7">
        <v>1</v>
      </c>
      <c r="AF48" s="7">
        <v>2</v>
      </c>
      <c r="AG48" s="7">
        <v>0</v>
      </c>
      <c r="AH48" s="7">
        <v>7</v>
      </c>
      <c r="AI48" s="7">
        <v>2</v>
      </c>
      <c r="AJ48" s="7">
        <v>2</v>
      </c>
      <c r="AK48" s="7" t="s">
        <v>136</v>
      </c>
      <c r="AL48" s="23">
        <f t="shared" si="1"/>
        <v>44754</v>
      </c>
    </row>
    <row r="49" spans="4:38" x14ac:dyDescent="0.3">
      <c r="D49"/>
      <c r="E49"/>
      <c r="F49"/>
      <c r="G49"/>
      <c r="H49"/>
      <c r="I49"/>
      <c r="K49"/>
      <c r="L49"/>
      <c r="M49"/>
      <c r="N49"/>
      <c r="O49"/>
      <c r="P49"/>
      <c r="AC49" s="7" t="s">
        <v>137</v>
      </c>
      <c r="AD49" s="23">
        <v>45540</v>
      </c>
      <c r="AE49" s="7">
        <v>0</v>
      </c>
      <c r="AF49" s="7">
        <v>5</v>
      </c>
      <c r="AG49" s="7">
        <v>0</v>
      </c>
      <c r="AH49" s="7">
        <v>9</v>
      </c>
      <c r="AI49" s="7">
        <v>2</v>
      </c>
      <c r="AJ49" s="7">
        <v>4</v>
      </c>
      <c r="AK49" s="7" t="s">
        <v>138</v>
      </c>
      <c r="AL49" s="23">
        <f t="shared" si="1"/>
        <v>45540</v>
      </c>
    </row>
    <row r="50" spans="4:38" x14ac:dyDescent="0.3">
      <c r="D50"/>
      <c r="E50"/>
      <c r="F50"/>
      <c r="G50"/>
      <c r="H50"/>
      <c r="I50"/>
      <c r="K50"/>
      <c r="L50"/>
      <c r="M50"/>
      <c r="N50"/>
      <c r="O50"/>
      <c r="P50"/>
      <c r="AC50" s="7" t="s">
        <v>139</v>
      </c>
      <c r="AD50" s="23">
        <v>38413</v>
      </c>
      <c r="AE50" s="7">
        <v>0</v>
      </c>
      <c r="AF50" s="7">
        <v>2</v>
      </c>
      <c r="AG50" s="7">
        <v>0</v>
      </c>
      <c r="AH50" s="7">
        <v>3</v>
      </c>
      <c r="AI50" s="7">
        <v>0</v>
      </c>
      <c r="AJ50" s="7">
        <v>5</v>
      </c>
      <c r="AK50" s="7" t="s">
        <v>140</v>
      </c>
      <c r="AL50" s="23">
        <f t="shared" si="1"/>
        <v>38413</v>
      </c>
    </row>
    <row r="51" spans="4:38" x14ac:dyDescent="0.3">
      <c r="D51"/>
      <c r="E51"/>
      <c r="F51"/>
      <c r="G51"/>
      <c r="H51"/>
      <c r="I51"/>
      <c r="K51"/>
      <c r="L51"/>
      <c r="M51"/>
      <c r="N51"/>
      <c r="O51"/>
      <c r="P51"/>
      <c r="AC51" s="7" t="s">
        <v>141</v>
      </c>
      <c r="AD51" s="23">
        <v>38811</v>
      </c>
      <c r="AE51" s="7">
        <v>0</v>
      </c>
      <c r="AF51" s="7">
        <v>4</v>
      </c>
      <c r="AG51" s="7">
        <v>0</v>
      </c>
      <c r="AH51" s="7">
        <v>4</v>
      </c>
      <c r="AI51" s="7">
        <v>0</v>
      </c>
      <c r="AJ51" s="7">
        <v>6</v>
      </c>
      <c r="AK51" s="7" t="s">
        <v>142</v>
      </c>
      <c r="AL51" s="23">
        <f t="shared" si="1"/>
        <v>38811</v>
      </c>
    </row>
    <row r="52" spans="4:38" x14ac:dyDescent="0.3">
      <c r="D52"/>
      <c r="E52"/>
      <c r="F52"/>
      <c r="G52"/>
      <c r="H52"/>
      <c r="I52"/>
      <c r="K52"/>
      <c r="L52"/>
      <c r="M52"/>
      <c r="N52"/>
      <c r="O52"/>
      <c r="P52"/>
      <c r="AC52" s="7" t="s">
        <v>143</v>
      </c>
      <c r="AD52" s="23">
        <v>39239</v>
      </c>
      <c r="AE52" s="7">
        <v>0</v>
      </c>
      <c r="AF52" s="7">
        <v>6</v>
      </c>
      <c r="AG52" s="7">
        <v>0</v>
      </c>
      <c r="AH52" s="7">
        <v>6</v>
      </c>
      <c r="AI52" s="7">
        <v>0</v>
      </c>
      <c r="AJ52" s="7">
        <v>7</v>
      </c>
      <c r="AK52" s="7" t="s">
        <v>144</v>
      </c>
      <c r="AL52" s="23">
        <f t="shared" si="1"/>
        <v>39239</v>
      </c>
    </row>
    <row r="53" spans="4:38" x14ac:dyDescent="0.3">
      <c r="D53"/>
      <c r="E53"/>
      <c r="F53"/>
      <c r="G53"/>
      <c r="H53"/>
      <c r="I53"/>
      <c r="K53"/>
      <c r="L53"/>
      <c r="M53"/>
      <c r="N53"/>
      <c r="O53"/>
      <c r="P53"/>
      <c r="AC53" s="7" t="s">
        <v>145</v>
      </c>
      <c r="AD53" s="23">
        <v>39668</v>
      </c>
      <c r="AE53" s="7">
        <v>0</v>
      </c>
      <c r="AF53" s="7">
        <v>8</v>
      </c>
      <c r="AG53" s="7">
        <v>0</v>
      </c>
      <c r="AH53" s="7">
        <v>8</v>
      </c>
      <c r="AI53" s="7">
        <v>0</v>
      </c>
      <c r="AJ53" s="7">
        <v>8</v>
      </c>
      <c r="AK53" s="7" t="s">
        <v>146</v>
      </c>
      <c r="AL53" s="23">
        <f t="shared" si="1"/>
        <v>39668</v>
      </c>
    </row>
    <row r="54" spans="4:38" x14ac:dyDescent="0.3">
      <c r="D54"/>
      <c r="E54"/>
      <c r="F54"/>
      <c r="G54"/>
      <c r="H54"/>
      <c r="I54"/>
      <c r="K54"/>
      <c r="L54"/>
      <c r="M54"/>
      <c r="N54"/>
      <c r="O54"/>
      <c r="P54"/>
      <c r="AC54" s="7" t="s">
        <v>147</v>
      </c>
      <c r="AD54" s="23">
        <v>40065</v>
      </c>
      <c r="AE54" s="7">
        <v>0</v>
      </c>
      <c r="AF54" s="7">
        <v>9</v>
      </c>
      <c r="AG54" s="7">
        <v>0</v>
      </c>
      <c r="AH54" s="7">
        <v>9</v>
      </c>
      <c r="AI54" s="7">
        <v>0</v>
      </c>
      <c r="AJ54" s="7">
        <v>9</v>
      </c>
      <c r="AK54" s="7" t="s">
        <v>148</v>
      </c>
      <c r="AL54" s="23">
        <f t="shared" si="1"/>
        <v>40065</v>
      </c>
    </row>
    <row r="55" spans="4:38" x14ac:dyDescent="0.3">
      <c r="D55"/>
      <c r="E55"/>
      <c r="F55"/>
      <c r="G55"/>
      <c r="H55"/>
      <c r="I55"/>
      <c r="K55"/>
      <c r="L55"/>
      <c r="M55"/>
      <c r="N55"/>
      <c r="O55"/>
      <c r="P55"/>
      <c r="AC55" s="7" t="s">
        <v>149</v>
      </c>
      <c r="AD55" s="23">
        <v>40461</v>
      </c>
      <c r="AE55" s="7">
        <v>1</v>
      </c>
      <c r="AF55" s="7">
        <v>0</v>
      </c>
      <c r="AG55" s="7">
        <v>1</v>
      </c>
      <c r="AH55" s="7">
        <v>0</v>
      </c>
      <c r="AI55" s="7">
        <v>1</v>
      </c>
      <c r="AJ55" s="7">
        <v>0</v>
      </c>
      <c r="AK55" s="7" t="s">
        <v>150</v>
      </c>
      <c r="AL55" s="23">
        <f t="shared" si="1"/>
        <v>40461</v>
      </c>
    </row>
    <row r="56" spans="4:38" x14ac:dyDescent="0.3">
      <c r="D56"/>
      <c r="E56"/>
      <c r="F56"/>
      <c r="G56"/>
      <c r="H56"/>
      <c r="I56"/>
      <c r="K56"/>
      <c r="L56"/>
      <c r="M56"/>
      <c r="N56"/>
      <c r="O56"/>
      <c r="P56"/>
      <c r="AC56" s="7" t="s">
        <v>151</v>
      </c>
      <c r="AD56" s="23">
        <v>40858</v>
      </c>
      <c r="AE56" s="7">
        <v>1</v>
      </c>
      <c r="AF56" s="7">
        <v>1</v>
      </c>
      <c r="AG56" s="7">
        <v>1</v>
      </c>
      <c r="AH56" s="7">
        <v>1</v>
      </c>
      <c r="AI56" s="7">
        <v>1</v>
      </c>
      <c r="AJ56" s="7">
        <v>1</v>
      </c>
      <c r="AK56" s="7" t="s">
        <v>152</v>
      </c>
      <c r="AL56" s="23">
        <f t="shared" si="1"/>
        <v>40858</v>
      </c>
    </row>
    <row r="57" spans="4:38" x14ac:dyDescent="0.3">
      <c r="D57"/>
      <c r="E57"/>
      <c r="F57"/>
      <c r="G57"/>
      <c r="H57"/>
      <c r="I57"/>
      <c r="K57"/>
      <c r="L57"/>
      <c r="M57"/>
      <c r="N57"/>
      <c r="O57"/>
      <c r="P57"/>
      <c r="AC57" s="7" t="s">
        <v>153</v>
      </c>
      <c r="AD57" s="23">
        <v>41255</v>
      </c>
      <c r="AE57" s="7">
        <v>1</v>
      </c>
      <c r="AF57" s="7">
        <v>2</v>
      </c>
      <c r="AG57" s="7">
        <v>1</v>
      </c>
      <c r="AH57" s="7">
        <v>2</v>
      </c>
      <c r="AI57" s="7">
        <v>1</v>
      </c>
      <c r="AJ57" s="7">
        <v>2</v>
      </c>
      <c r="AK57" s="7" t="s">
        <v>154</v>
      </c>
      <c r="AL57" s="23">
        <f t="shared" si="1"/>
        <v>41255</v>
      </c>
    </row>
    <row r="58" spans="4:38" x14ac:dyDescent="0.3">
      <c r="D58"/>
      <c r="E58"/>
      <c r="F58"/>
      <c r="G58"/>
      <c r="H58"/>
      <c r="I58"/>
      <c r="K58"/>
      <c r="L58"/>
      <c r="M58"/>
      <c r="N58"/>
      <c r="O58"/>
      <c r="P58"/>
      <c r="AC58" s="7" t="s">
        <v>155</v>
      </c>
      <c r="AD58" s="23">
        <v>41652</v>
      </c>
      <c r="AE58" s="7">
        <v>1</v>
      </c>
      <c r="AF58" s="7">
        <v>3</v>
      </c>
      <c r="AG58" s="7">
        <v>1</v>
      </c>
      <c r="AH58" s="7">
        <v>3</v>
      </c>
      <c r="AI58" s="7">
        <v>1</v>
      </c>
      <c r="AJ58" s="7">
        <v>3</v>
      </c>
      <c r="AK58" s="7" t="s">
        <v>156</v>
      </c>
      <c r="AL58" s="23">
        <f t="shared" si="1"/>
        <v>41652</v>
      </c>
    </row>
    <row r="59" spans="4:38" x14ac:dyDescent="0.3">
      <c r="D59"/>
      <c r="E59"/>
      <c r="F59"/>
      <c r="G59"/>
      <c r="H59"/>
      <c r="I59"/>
      <c r="K59"/>
      <c r="L59"/>
      <c r="M59"/>
      <c r="N59"/>
      <c r="O59"/>
      <c r="P59"/>
      <c r="AC59" s="7" t="s">
        <v>29</v>
      </c>
      <c r="AD59" s="23" t="s">
        <v>218</v>
      </c>
      <c r="AE59" s="7">
        <v>0</v>
      </c>
      <c r="AF59" s="7">
        <v>4</v>
      </c>
      <c r="AG59" s="7">
        <v>0</v>
      </c>
      <c r="AH59" s="7">
        <v>7</v>
      </c>
      <c r="AI59" s="7">
        <v>7</v>
      </c>
      <c r="AJ59" s="7">
        <v>6</v>
      </c>
      <c r="AK59" s="7" t="s">
        <v>30</v>
      </c>
      <c r="AL59" s="23"/>
    </row>
    <row r="60" spans="4:38" x14ac:dyDescent="0.3">
      <c r="D60"/>
      <c r="E60"/>
      <c r="F60"/>
      <c r="G60"/>
      <c r="H60"/>
      <c r="I60"/>
      <c r="K60"/>
      <c r="L60"/>
      <c r="M60"/>
      <c r="N60"/>
      <c r="O60"/>
      <c r="P60"/>
      <c r="AC60" s="7" t="s">
        <v>31</v>
      </c>
      <c r="AD60" s="23" t="s">
        <v>219</v>
      </c>
      <c r="AE60" s="7">
        <v>1</v>
      </c>
      <c r="AF60" s="7">
        <v>4</v>
      </c>
      <c r="AG60" s="7">
        <v>0</v>
      </c>
      <c r="AH60" s="7">
        <v>2</v>
      </c>
      <c r="AI60" s="7">
        <v>8</v>
      </c>
      <c r="AJ60" s="7">
        <v>9</v>
      </c>
      <c r="AK60" s="7" t="s">
        <v>32</v>
      </c>
      <c r="AL60" s="23"/>
    </row>
    <row r="61" spans="4:38" x14ac:dyDescent="0.3">
      <c r="D61"/>
      <c r="E61"/>
      <c r="F61"/>
      <c r="G61"/>
      <c r="H61"/>
      <c r="I61"/>
      <c r="K61"/>
      <c r="L61"/>
      <c r="M61"/>
      <c r="N61"/>
      <c r="O61"/>
      <c r="P61"/>
      <c r="AC61" s="7" t="s">
        <v>33</v>
      </c>
      <c r="AD61" s="23" t="s">
        <v>220</v>
      </c>
      <c r="AE61" s="7">
        <v>2</v>
      </c>
      <c r="AF61" s="7">
        <v>2</v>
      </c>
      <c r="AG61" s="7">
        <v>0</v>
      </c>
      <c r="AH61" s="7">
        <v>2</v>
      </c>
      <c r="AI61" s="7">
        <v>3</v>
      </c>
      <c r="AJ61" s="7">
        <v>7</v>
      </c>
      <c r="AK61" s="7" t="s">
        <v>34</v>
      </c>
      <c r="AL61" s="23"/>
    </row>
    <row r="62" spans="4:38" x14ac:dyDescent="0.3">
      <c r="D62"/>
      <c r="E62"/>
      <c r="F62"/>
      <c r="G62"/>
      <c r="H62"/>
      <c r="I62"/>
      <c r="K62"/>
      <c r="L62"/>
      <c r="M62"/>
      <c r="N62"/>
      <c r="O62"/>
      <c r="P62"/>
      <c r="AC62" s="7" t="s">
        <v>157</v>
      </c>
      <c r="AD62" s="23" t="s">
        <v>221</v>
      </c>
      <c r="AE62" s="7">
        <v>1</v>
      </c>
      <c r="AF62" s="7">
        <v>0</v>
      </c>
      <c r="AG62" s="7">
        <v>1</v>
      </c>
      <c r="AH62" s="7">
        <v>2</v>
      </c>
      <c r="AI62" s="7">
        <v>3</v>
      </c>
      <c r="AJ62" s="7">
        <v>6</v>
      </c>
      <c r="AK62" s="7" t="s">
        <v>158</v>
      </c>
      <c r="AL62" s="23"/>
    </row>
    <row r="63" spans="4:38" x14ac:dyDescent="0.3">
      <c r="D63"/>
      <c r="E63"/>
      <c r="F63"/>
      <c r="G63"/>
      <c r="H63"/>
      <c r="I63"/>
      <c r="K63"/>
      <c r="L63"/>
      <c r="M63"/>
      <c r="N63"/>
      <c r="O63"/>
      <c r="P63"/>
      <c r="AC63" s="7" t="s">
        <v>159</v>
      </c>
      <c r="AD63" s="23" t="s">
        <v>222</v>
      </c>
      <c r="AE63" s="7">
        <v>1</v>
      </c>
      <c r="AF63" s="7">
        <v>7</v>
      </c>
      <c r="AG63" s="7">
        <v>0</v>
      </c>
      <c r="AH63" s="7">
        <v>9</v>
      </c>
      <c r="AI63" s="7">
        <v>3</v>
      </c>
      <c r="AJ63" s="7">
        <v>9</v>
      </c>
      <c r="AK63" s="7" t="s">
        <v>160</v>
      </c>
      <c r="AL63" s="23"/>
    </row>
    <row r="64" spans="4:38" x14ac:dyDescent="0.3">
      <c r="D64"/>
      <c r="E64"/>
      <c r="F64"/>
      <c r="G64"/>
      <c r="H64"/>
      <c r="I64"/>
      <c r="K64"/>
      <c r="L64"/>
      <c r="M64"/>
      <c r="N64"/>
      <c r="O64"/>
      <c r="P64"/>
      <c r="AC64" s="7" t="s">
        <v>161</v>
      </c>
      <c r="AD64" s="23" t="s">
        <v>223</v>
      </c>
      <c r="AE64" s="7">
        <v>2</v>
      </c>
      <c r="AF64" s="7">
        <v>4</v>
      </c>
      <c r="AG64" s="7">
        <v>0</v>
      </c>
      <c r="AH64" s="7">
        <v>5</v>
      </c>
      <c r="AI64" s="7">
        <v>4</v>
      </c>
      <c r="AJ64" s="7">
        <v>1</v>
      </c>
      <c r="AK64" s="7" t="s">
        <v>162</v>
      </c>
      <c r="AL64" s="23"/>
    </row>
    <row r="65" spans="4:38" x14ac:dyDescent="0.3">
      <c r="D65"/>
      <c r="E65"/>
      <c r="F65"/>
      <c r="G65"/>
      <c r="H65"/>
      <c r="I65"/>
      <c r="K65"/>
      <c r="L65"/>
      <c r="M65"/>
      <c r="N65"/>
      <c r="O65"/>
      <c r="P65"/>
      <c r="AC65" s="7" t="s">
        <v>163</v>
      </c>
      <c r="AD65" s="23" t="s">
        <v>224</v>
      </c>
      <c r="AE65" s="7">
        <v>0</v>
      </c>
      <c r="AF65" s="7">
        <v>4</v>
      </c>
      <c r="AG65" s="7">
        <v>0</v>
      </c>
      <c r="AH65" s="7">
        <v>6</v>
      </c>
      <c r="AI65" s="7">
        <v>4</v>
      </c>
      <c r="AJ65" s="7">
        <v>2</v>
      </c>
      <c r="AK65" s="7" t="s">
        <v>164</v>
      </c>
      <c r="AL65" s="23"/>
    </row>
    <row r="66" spans="4:38" x14ac:dyDescent="0.3">
      <c r="D66"/>
      <c r="E66"/>
      <c r="F66"/>
      <c r="G66"/>
      <c r="H66"/>
      <c r="I66"/>
      <c r="K66"/>
      <c r="L66"/>
      <c r="M66"/>
      <c r="N66"/>
      <c r="O66"/>
      <c r="P66"/>
      <c r="AC66" s="7" t="s">
        <v>165</v>
      </c>
      <c r="AD66" s="23" t="s">
        <v>225</v>
      </c>
      <c r="AE66" s="7">
        <v>2</v>
      </c>
      <c r="AF66" s="7">
        <v>7</v>
      </c>
      <c r="AG66" s="7">
        <v>0</v>
      </c>
      <c r="AH66" s="7">
        <v>7</v>
      </c>
      <c r="AI66" s="7">
        <v>4</v>
      </c>
      <c r="AJ66" s="7">
        <v>4</v>
      </c>
      <c r="AK66" s="7" t="s">
        <v>166</v>
      </c>
      <c r="AL66" s="23"/>
    </row>
    <row r="67" spans="4:38" x14ac:dyDescent="0.3">
      <c r="D67"/>
      <c r="E67"/>
      <c r="F67"/>
      <c r="G67"/>
      <c r="H67"/>
      <c r="I67"/>
      <c r="K67"/>
      <c r="L67"/>
      <c r="M67"/>
      <c r="N67"/>
      <c r="O67"/>
      <c r="P67"/>
      <c r="AC67" s="7" t="s">
        <v>167</v>
      </c>
      <c r="AD67" s="23" t="s">
        <v>226</v>
      </c>
      <c r="AE67" s="7">
        <v>1</v>
      </c>
      <c r="AF67" s="7">
        <v>0</v>
      </c>
      <c r="AG67" s="7">
        <v>0</v>
      </c>
      <c r="AH67" s="7">
        <v>8</v>
      </c>
      <c r="AI67" s="7">
        <v>4</v>
      </c>
      <c r="AJ67" s="7">
        <v>6</v>
      </c>
      <c r="AK67" s="7" t="s">
        <v>168</v>
      </c>
      <c r="AL67" s="23"/>
    </row>
    <row r="68" spans="4:38" x14ac:dyDescent="0.3">
      <c r="D68"/>
      <c r="E68"/>
      <c r="F68"/>
      <c r="G68"/>
      <c r="H68"/>
      <c r="I68"/>
      <c r="K68"/>
      <c r="L68"/>
      <c r="M68"/>
      <c r="N68"/>
      <c r="O68"/>
      <c r="P68"/>
      <c r="AC68" s="7" t="s">
        <v>169</v>
      </c>
      <c r="AD68" s="23" t="s">
        <v>227</v>
      </c>
      <c r="AE68" s="7">
        <v>0</v>
      </c>
      <c r="AF68" s="7">
        <v>1</v>
      </c>
      <c r="AG68" s="7">
        <v>0</v>
      </c>
      <c r="AH68" s="7">
        <v>9</v>
      </c>
      <c r="AI68" s="7">
        <v>4</v>
      </c>
      <c r="AJ68" s="7">
        <v>7</v>
      </c>
      <c r="AK68" s="7" t="s">
        <v>170</v>
      </c>
      <c r="AL68" s="23"/>
    </row>
    <row r="69" spans="4:38" x14ac:dyDescent="0.3">
      <c r="D69"/>
      <c r="E69"/>
      <c r="F69"/>
      <c r="G69"/>
      <c r="H69"/>
      <c r="I69"/>
      <c r="K69"/>
      <c r="L69"/>
      <c r="M69"/>
      <c r="N69"/>
      <c r="O69"/>
      <c r="P69"/>
      <c r="AC69" s="7" t="s">
        <v>171</v>
      </c>
      <c r="AD69" s="23" t="s">
        <v>228</v>
      </c>
      <c r="AE69" s="7">
        <v>1</v>
      </c>
      <c r="AF69" s="7">
        <v>2</v>
      </c>
      <c r="AG69" s="7">
        <v>0</v>
      </c>
      <c r="AH69" s="7">
        <v>3</v>
      </c>
      <c r="AI69" s="7">
        <v>4</v>
      </c>
      <c r="AJ69" s="7">
        <v>8</v>
      </c>
      <c r="AK69" s="7" t="s">
        <v>172</v>
      </c>
      <c r="AL69" s="23"/>
    </row>
    <row r="70" spans="4:38" x14ac:dyDescent="0.3">
      <c r="D70"/>
      <c r="E70"/>
      <c r="F70"/>
      <c r="G70"/>
      <c r="H70"/>
      <c r="I70"/>
      <c r="K70"/>
      <c r="L70"/>
      <c r="M70"/>
      <c r="N70"/>
      <c r="O70"/>
      <c r="P70"/>
      <c r="AC70" s="7" t="s">
        <v>173</v>
      </c>
      <c r="AD70" s="23" t="s">
        <v>229</v>
      </c>
      <c r="AE70" s="7">
        <v>2</v>
      </c>
      <c r="AF70" s="7">
        <v>4</v>
      </c>
      <c r="AG70" s="7">
        <v>0</v>
      </c>
      <c r="AH70" s="7">
        <v>4</v>
      </c>
      <c r="AI70" s="7">
        <v>5</v>
      </c>
      <c r="AJ70" s="7">
        <v>0</v>
      </c>
      <c r="AK70" s="7" t="s">
        <v>174</v>
      </c>
      <c r="AL70" s="23"/>
    </row>
    <row r="71" spans="4:38" x14ac:dyDescent="0.3">
      <c r="D71"/>
      <c r="E71"/>
      <c r="F71"/>
      <c r="G71"/>
      <c r="H71"/>
      <c r="I71"/>
      <c r="K71"/>
      <c r="L71"/>
      <c r="M71"/>
      <c r="N71"/>
      <c r="O71"/>
      <c r="P71"/>
      <c r="AC71" s="7" t="s">
        <v>175</v>
      </c>
      <c r="AD71" s="23" t="s">
        <v>230</v>
      </c>
      <c r="AE71" s="7">
        <v>0</v>
      </c>
      <c r="AF71" s="7">
        <v>5</v>
      </c>
      <c r="AG71" s="7">
        <v>0</v>
      </c>
      <c r="AH71" s="7">
        <v>5</v>
      </c>
      <c r="AI71" s="7">
        <v>5</v>
      </c>
      <c r="AJ71" s="7">
        <v>2</v>
      </c>
      <c r="AK71" s="7" t="s">
        <v>35</v>
      </c>
      <c r="AL71" s="23"/>
    </row>
    <row r="72" spans="4:38" x14ac:dyDescent="0.3">
      <c r="D72"/>
      <c r="E72"/>
      <c r="F72"/>
      <c r="G72"/>
      <c r="H72"/>
      <c r="I72"/>
      <c r="K72"/>
      <c r="L72"/>
      <c r="M72"/>
      <c r="N72"/>
      <c r="O72"/>
      <c r="P72"/>
      <c r="AC72" s="7" t="s">
        <v>176</v>
      </c>
      <c r="AD72" s="23" t="s">
        <v>231</v>
      </c>
      <c r="AE72" s="7">
        <v>0</v>
      </c>
      <c r="AF72" s="7">
        <v>8</v>
      </c>
      <c r="AG72" s="7">
        <v>0</v>
      </c>
      <c r="AH72" s="7">
        <v>6</v>
      </c>
      <c r="AI72" s="7">
        <v>5</v>
      </c>
      <c r="AJ72" s="7">
        <v>4</v>
      </c>
      <c r="AK72" s="7" t="s">
        <v>36</v>
      </c>
      <c r="AL72" s="23"/>
    </row>
    <row r="73" spans="4:38" x14ac:dyDescent="0.3">
      <c r="D73"/>
      <c r="E73"/>
      <c r="F73"/>
      <c r="G73"/>
      <c r="H73"/>
      <c r="I73"/>
      <c r="K73"/>
      <c r="L73"/>
      <c r="M73"/>
      <c r="N73"/>
      <c r="O73"/>
      <c r="P73"/>
      <c r="AC73" s="7" t="s">
        <v>177</v>
      </c>
      <c r="AD73" s="23" t="s">
        <v>232</v>
      </c>
      <c r="AE73" s="7">
        <v>1</v>
      </c>
      <c r="AF73" s="7">
        <v>5</v>
      </c>
      <c r="AG73" s="7">
        <v>0</v>
      </c>
      <c r="AH73" s="7">
        <v>7</v>
      </c>
      <c r="AI73" s="7">
        <v>5</v>
      </c>
      <c r="AJ73" s="7">
        <v>6</v>
      </c>
      <c r="AK73" s="7" t="s">
        <v>37</v>
      </c>
      <c r="AL73" s="23"/>
    </row>
    <row r="74" spans="4:38" x14ac:dyDescent="0.3">
      <c r="D74"/>
      <c r="E74"/>
      <c r="F74"/>
      <c r="G74"/>
      <c r="H74"/>
      <c r="I74"/>
      <c r="K74"/>
      <c r="L74"/>
      <c r="M74"/>
      <c r="N74"/>
      <c r="O74"/>
      <c r="P74"/>
      <c r="AC74" s="7" t="s">
        <v>178</v>
      </c>
      <c r="AD74" s="23" t="s">
        <v>233</v>
      </c>
      <c r="AE74" s="7">
        <v>1</v>
      </c>
      <c r="AF74" s="7">
        <v>8</v>
      </c>
      <c r="AG74" s="7">
        <v>0</v>
      </c>
      <c r="AH74" s="7">
        <v>8</v>
      </c>
      <c r="AI74" s="7">
        <v>5</v>
      </c>
      <c r="AJ74" s="7">
        <v>8</v>
      </c>
      <c r="AK74" s="7" t="s">
        <v>179</v>
      </c>
      <c r="AL74" s="23"/>
    </row>
    <row r="75" spans="4:38" x14ac:dyDescent="0.3">
      <c r="D75"/>
      <c r="E75"/>
      <c r="F75"/>
      <c r="G75"/>
      <c r="H75"/>
      <c r="I75"/>
      <c r="K75"/>
      <c r="L75"/>
      <c r="M75"/>
      <c r="N75"/>
      <c r="O75"/>
      <c r="P75"/>
      <c r="AC75" s="7" t="s">
        <v>180</v>
      </c>
      <c r="AD75" s="23" t="s">
        <v>234</v>
      </c>
      <c r="AE75" s="7">
        <v>2</v>
      </c>
      <c r="AF75" s="7">
        <v>1</v>
      </c>
      <c r="AG75" s="7">
        <v>0</v>
      </c>
      <c r="AH75" s="7">
        <v>9</v>
      </c>
      <c r="AI75" s="7">
        <v>6</v>
      </c>
      <c r="AJ75" s="7">
        <v>0</v>
      </c>
      <c r="AK75" s="7" t="s">
        <v>38</v>
      </c>
      <c r="AL75" s="23"/>
    </row>
    <row r="76" spans="4:38" x14ac:dyDescent="0.3">
      <c r="D76"/>
      <c r="E76"/>
      <c r="F76"/>
      <c r="G76"/>
      <c r="H76"/>
      <c r="I76"/>
      <c r="K76"/>
      <c r="L76"/>
      <c r="M76"/>
      <c r="N76"/>
      <c r="O76"/>
      <c r="P76"/>
      <c r="AC76" s="7" t="s">
        <v>181</v>
      </c>
      <c r="AD76" s="23" t="s">
        <v>235</v>
      </c>
      <c r="AE76" s="7">
        <v>0</v>
      </c>
      <c r="AF76" s="7">
        <v>2</v>
      </c>
      <c r="AG76" s="7">
        <v>0</v>
      </c>
      <c r="AH76" s="7">
        <v>2</v>
      </c>
      <c r="AI76" s="7">
        <v>6</v>
      </c>
      <c r="AJ76" s="7">
        <v>2</v>
      </c>
      <c r="AK76" s="7" t="s">
        <v>39</v>
      </c>
      <c r="AL76" s="23"/>
    </row>
    <row r="77" spans="4:38" x14ac:dyDescent="0.3">
      <c r="D77"/>
      <c r="E77"/>
      <c r="F77"/>
      <c r="G77"/>
      <c r="H77"/>
      <c r="I77"/>
      <c r="K77"/>
      <c r="L77"/>
      <c r="M77"/>
      <c r="N77"/>
      <c r="O77"/>
      <c r="P77"/>
      <c r="AC77" s="7" t="s">
        <v>182</v>
      </c>
      <c r="AD77" s="23" t="s">
        <v>236</v>
      </c>
      <c r="AE77" s="7">
        <v>0</v>
      </c>
      <c r="AF77" s="7">
        <v>4</v>
      </c>
      <c r="AG77" s="7">
        <v>0</v>
      </c>
      <c r="AH77" s="7">
        <v>3</v>
      </c>
      <c r="AI77" s="7">
        <v>6</v>
      </c>
      <c r="AJ77" s="7">
        <v>4</v>
      </c>
      <c r="AK77" s="7" t="s">
        <v>40</v>
      </c>
      <c r="AL77" s="23"/>
    </row>
    <row r="78" spans="4:38" x14ac:dyDescent="0.3">
      <c r="D78"/>
      <c r="E78"/>
      <c r="F78"/>
      <c r="G78"/>
      <c r="H78"/>
      <c r="I78"/>
      <c r="K78"/>
      <c r="L78"/>
      <c r="M78"/>
      <c r="N78"/>
      <c r="O78"/>
      <c r="P78"/>
      <c r="AC78" s="7" t="s">
        <v>183</v>
      </c>
      <c r="AD78" s="23" t="s">
        <v>237</v>
      </c>
      <c r="AE78" s="7">
        <v>0</v>
      </c>
      <c r="AF78" s="7">
        <v>6</v>
      </c>
      <c r="AG78" s="7">
        <v>0</v>
      </c>
      <c r="AH78" s="7">
        <v>4</v>
      </c>
      <c r="AI78" s="7">
        <v>6</v>
      </c>
      <c r="AJ78" s="7">
        <v>6</v>
      </c>
      <c r="AK78" s="7" t="s">
        <v>41</v>
      </c>
      <c r="AL78" s="23"/>
    </row>
    <row r="79" spans="4:38" x14ac:dyDescent="0.3">
      <c r="D79"/>
      <c r="E79"/>
      <c r="F79"/>
      <c r="G79"/>
      <c r="H79"/>
      <c r="I79"/>
      <c r="K79"/>
      <c r="L79"/>
      <c r="M79"/>
      <c r="N79"/>
      <c r="O79"/>
      <c r="P79"/>
      <c r="AC79" s="7" t="s">
        <v>184</v>
      </c>
      <c r="AD79" s="23" t="s">
        <v>238</v>
      </c>
      <c r="AE79" s="7">
        <v>0</v>
      </c>
      <c r="AF79" s="7">
        <v>8</v>
      </c>
      <c r="AG79" s="7">
        <v>0</v>
      </c>
      <c r="AH79" s="7">
        <v>5</v>
      </c>
      <c r="AI79" s="7">
        <v>6</v>
      </c>
      <c r="AJ79" s="7">
        <v>8</v>
      </c>
      <c r="AK79" s="7" t="s">
        <v>42</v>
      </c>
      <c r="AL79" s="23"/>
    </row>
    <row r="80" spans="4:38" x14ac:dyDescent="0.3">
      <c r="D80"/>
      <c r="E80"/>
      <c r="F80"/>
      <c r="G80"/>
      <c r="H80"/>
      <c r="I80"/>
      <c r="K80"/>
      <c r="L80"/>
      <c r="M80"/>
      <c r="N80"/>
      <c r="O80"/>
      <c r="P80"/>
      <c r="AC80" s="7" t="s">
        <v>185</v>
      </c>
      <c r="AD80" s="23" t="s">
        <v>239</v>
      </c>
      <c r="AE80" s="7">
        <v>1</v>
      </c>
      <c r="AF80" s="7">
        <v>0</v>
      </c>
      <c r="AG80" s="7">
        <v>0</v>
      </c>
      <c r="AH80" s="7">
        <v>6</v>
      </c>
      <c r="AI80" s="7">
        <v>7</v>
      </c>
      <c r="AJ80" s="7">
        <v>0</v>
      </c>
      <c r="AK80" s="7" t="s">
        <v>43</v>
      </c>
      <c r="AL80" s="23"/>
    </row>
    <row r="81" spans="4:38" x14ac:dyDescent="0.3">
      <c r="D81"/>
      <c r="E81"/>
      <c r="F81"/>
      <c r="G81"/>
      <c r="H81"/>
      <c r="I81"/>
      <c r="K81"/>
      <c r="L81"/>
      <c r="M81"/>
      <c r="N81"/>
      <c r="O81"/>
      <c r="P81"/>
      <c r="AC81" s="7" t="s">
        <v>186</v>
      </c>
      <c r="AD81" s="23" t="s">
        <v>240</v>
      </c>
      <c r="AE81" s="7">
        <v>1</v>
      </c>
      <c r="AF81" s="7">
        <v>2</v>
      </c>
      <c r="AG81" s="7">
        <v>0</v>
      </c>
      <c r="AH81" s="7">
        <v>7</v>
      </c>
      <c r="AI81" s="7">
        <v>7</v>
      </c>
      <c r="AJ81" s="7">
        <v>2</v>
      </c>
      <c r="AK81" s="7" t="s">
        <v>44</v>
      </c>
      <c r="AL81" s="23"/>
    </row>
    <row r="82" spans="4:38" x14ac:dyDescent="0.3">
      <c r="D82"/>
      <c r="E82"/>
      <c r="F82"/>
      <c r="G82"/>
      <c r="H82"/>
      <c r="I82"/>
      <c r="K82"/>
      <c r="L82"/>
      <c r="M82"/>
      <c r="N82"/>
      <c r="O82"/>
      <c r="P82"/>
      <c r="AC82" s="7" t="s">
        <v>187</v>
      </c>
      <c r="AD82" s="23" t="s">
        <v>241</v>
      </c>
      <c r="AE82" s="7">
        <v>1</v>
      </c>
      <c r="AF82" s="7">
        <v>4</v>
      </c>
      <c r="AG82" s="7">
        <v>0</v>
      </c>
      <c r="AH82" s="7">
        <v>8</v>
      </c>
      <c r="AI82" s="7">
        <v>7</v>
      </c>
      <c r="AJ82" s="7">
        <v>4</v>
      </c>
      <c r="AK82" s="7" t="s">
        <v>45</v>
      </c>
      <c r="AL82" s="23"/>
    </row>
    <row r="83" spans="4:38" x14ac:dyDescent="0.3">
      <c r="D83"/>
      <c r="E83"/>
      <c r="F83"/>
      <c r="G83"/>
      <c r="H83"/>
      <c r="I83"/>
      <c r="K83"/>
      <c r="L83"/>
      <c r="M83"/>
      <c r="N83"/>
      <c r="O83"/>
      <c r="P83"/>
      <c r="AC83" s="7" t="s">
        <v>188</v>
      </c>
      <c r="AD83" s="23" t="s">
        <v>242</v>
      </c>
      <c r="AE83" s="7">
        <v>1</v>
      </c>
      <c r="AF83" s="7">
        <v>6</v>
      </c>
      <c r="AG83" s="7">
        <v>0</v>
      </c>
      <c r="AH83" s="7">
        <v>9</v>
      </c>
      <c r="AI83" s="7">
        <v>7</v>
      </c>
      <c r="AJ83" s="7">
        <v>6</v>
      </c>
      <c r="AK83" s="7" t="s">
        <v>46</v>
      </c>
      <c r="AL83" s="23"/>
    </row>
    <row r="84" spans="4:38" x14ac:dyDescent="0.3">
      <c r="D84"/>
      <c r="E84"/>
      <c r="F84"/>
      <c r="G84"/>
      <c r="H84"/>
      <c r="I84"/>
      <c r="K84"/>
      <c r="L84"/>
      <c r="M84"/>
      <c r="N84"/>
      <c r="O84"/>
      <c r="P84"/>
      <c r="AC84" s="7" t="s">
        <v>189</v>
      </c>
      <c r="AD84" s="23" t="s">
        <v>243</v>
      </c>
      <c r="AE84" s="7">
        <v>1</v>
      </c>
      <c r="AF84" s="7">
        <v>8</v>
      </c>
      <c r="AG84" s="7">
        <v>1</v>
      </c>
      <c r="AH84" s="7">
        <v>0</v>
      </c>
      <c r="AI84" s="7">
        <v>7</v>
      </c>
      <c r="AJ84" s="7">
        <v>8</v>
      </c>
      <c r="AK84" s="7" t="s">
        <v>47</v>
      </c>
      <c r="AL84" s="23"/>
    </row>
    <row r="85" spans="4:38" x14ac:dyDescent="0.3">
      <c r="D85"/>
      <c r="E85"/>
      <c r="F85"/>
      <c r="G85"/>
      <c r="H85"/>
      <c r="I85"/>
      <c r="K85"/>
      <c r="L85"/>
      <c r="M85"/>
      <c r="N85"/>
      <c r="O85"/>
      <c r="P85"/>
      <c r="AC85" s="7" t="s">
        <v>190</v>
      </c>
      <c r="AD85" s="23" t="s">
        <v>244</v>
      </c>
      <c r="AE85" s="7">
        <v>2</v>
      </c>
      <c r="AF85" s="7">
        <v>0</v>
      </c>
      <c r="AG85" s="7">
        <v>1</v>
      </c>
      <c r="AH85" s="7">
        <v>1</v>
      </c>
      <c r="AI85" s="7">
        <v>8</v>
      </c>
      <c r="AJ85" s="7">
        <v>0</v>
      </c>
      <c r="AK85" s="7" t="s">
        <v>48</v>
      </c>
      <c r="AL85" s="23"/>
    </row>
    <row r="86" spans="4:38" x14ac:dyDescent="0.3">
      <c r="D86"/>
      <c r="E86"/>
      <c r="F86"/>
      <c r="G86"/>
      <c r="H86"/>
      <c r="I86"/>
      <c r="K86"/>
      <c r="L86"/>
      <c r="M86"/>
      <c r="N86"/>
      <c r="O86"/>
      <c r="P86"/>
      <c r="AC86" s="7" t="s">
        <v>191</v>
      </c>
      <c r="AD86" s="23" t="s">
        <v>245</v>
      </c>
      <c r="AE86" s="7">
        <v>2</v>
      </c>
      <c r="AF86" s="7">
        <v>2</v>
      </c>
      <c r="AG86" s="7">
        <v>0</v>
      </c>
      <c r="AH86" s="7">
        <v>2</v>
      </c>
      <c r="AI86" s="7">
        <v>8</v>
      </c>
      <c r="AJ86" s="7">
        <v>2</v>
      </c>
      <c r="AK86" s="7" t="s">
        <v>49</v>
      </c>
      <c r="AL86" s="23"/>
    </row>
    <row r="87" spans="4:38" x14ac:dyDescent="0.3">
      <c r="D87"/>
      <c r="E87"/>
      <c r="F87"/>
      <c r="G87"/>
      <c r="H87"/>
      <c r="I87"/>
      <c r="K87"/>
      <c r="L87"/>
      <c r="M87"/>
      <c r="N87"/>
      <c r="O87"/>
      <c r="P87"/>
      <c r="AC87" s="7" t="s">
        <v>192</v>
      </c>
      <c r="AD87" s="23" t="s">
        <v>246</v>
      </c>
      <c r="AE87" s="7">
        <v>2</v>
      </c>
      <c r="AF87" s="7">
        <v>4</v>
      </c>
      <c r="AG87" s="7">
        <v>0</v>
      </c>
      <c r="AH87" s="7">
        <v>3</v>
      </c>
      <c r="AI87" s="7">
        <v>8</v>
      </c>
      <c r="AJ87" s="7">
        <v>4</v>
      </c>
      <c r="AK87" s="7" t="s">
        <v>50</v>
      </c>
      <c r="AL87" s="23"/>
    </row>
    <row r="88" spans="4:38" x14ac:dyDescent="0.3">
      <c r="D88"/>
      <c r="E88"/>
      <c r="F88"/>
      <c r="G88"/>
      <c r="H88"/>
      <c r="I88"/>
      <c r="K88"/>
      <c r="L88"/>
      <c r="M88"/>
      <c r="N88"/>
      <c r="O88"/>
      <c r="P88"/>
      <c r="AC88" s="7" t="s">
        <v>193</v>
      </c>
      <c r="AD88" s="23" t="s">
        <v>247</v>
      </c>
      <c r="AE88" s="7">
        <v>2</v>
      </c>
      <c r="AF88" s="7">
        <v>6</v>
      </c>
      <c r="AG88" s="7">
        <v>0</v>
      </c>
      <c r="AH88" s="7">
        <v>4</v>
      </c>
      <c r="AI88" s="7">
        <v>8</v>
      </c>
      <c r="AJ88" s="7">
        <v>6</v>
      </c>
      <c r="AK88" s="7" t="s">
        <v>51</v>
      </c>
      <c r="AL88" s="23"/>
    </row>
    <row r="89" spans="4:38" x14ac:dyDescent="0.3">
      <c r="D89"/>
      <c r="E89"/>
      <c r="F89"/>
      <c r="G89"/>
      <c r="H89"/>
      <c r="I89"/>
      <c r="K89"/>
      <c r="L89"/>
      <c r="M89"/>
      <c r="N89"/>
      <c r="O89"/>
      <c r="P89"/>
      <c r="AC89" s="7" t="s">
        <v>194</v>
      </c>
      <c r="AD89" s="23" t="s">
        <v>248</v>
      </c>
      <c r="AE89" s="7">
        <v>2</v>
      </c>
      <c r="AF89" s="7">
        <v>8</v>
      </c>
      <c r="AG89" s="7">
        <v>0</v>
      </c>
      <c r="AH89" s="7">
        <v>5</v>
      </c>
      <c r="AI89" s="7">
        <v>8</v>
      </c>
      <c r="AJ89" s="7">
        <v>8</v>
      </c>
      <c r="AK89" s="7" t="s">
        <v>195</v>
      </c>
      <c r="AL89" s="23"/>
    </row>
    <row r="90" spans="4:38" x14ac:dyDescent="0.3">
      <c r="D90"/>
      <c r="E90"/>
      <c r="F90"/>
      <c r="G90"/>
      <c r="H90"/>
      <c r="I90"/>
      <c r="K90"/>
      <c r="L90"/>
      <c r="M90"/>
      <c r="N90"/>
      <c r="O90"/>
      <c r="P90"/>
      <c r="AC90" s="7" t="s">
        <v>196</v>
      </c>
      <c r="AD90" s="23" t="s">
        <v>249</v>
      </c>
      <c r="AE90" s="7">
        <v>3</v>
      </c>
      <c r="AF90" s="7">
        <v>0</v>
      </c>
      <c r="AG90" s="7">
        <v>0</v>
      </c>
      <c r="AH90" s="7">
        <v>6</v>
      </c>
      <c r="AI90" s="7">
        <v>9</v>
      </c>
      <c r="AJ90" s="7">
        <v>0</v>
      </c>
      <c r="AK90" s="7" t="s">
        <v>52</v>
      </c>
      <c r="AL90" s="23"/>
    </row>
    <row r="91" spans="4:38" x14ac:dyDescent="0.3">
      <c r="D91"/>
      <c r="E91"/>
      <c r="F91"/>
      <c r="G91"/>
      <c r="H91"/>
      <c r="I91"/>
      <c r="K91"/>
      <c r="L91"/>
      <c r="M91"/>
      <c r="N91"/>
      <c r="O91"/>
      <c r="P91"/>
      <c r="AC91" s="7" t="s">
        <v>197</v>
      </c>
      <c r="AD91" s="23" t="s">
        <v>250</v>
      </c>
      <c r="AE91" s="7">
        <v>0</v>
      </c>
      <c r="AF91" s="7">
        <v>2</v>
      </c>
      <c r="AG91" s="7">
        <v>0</v>
      </c>
      <c r="AH91" s="7">
        <v>7</v>
      </c>
      <c r="AI91" s="7">
        <v>9</v>
      </c>
      <c r="AJ91" s="7">
        <v>2</v>
      </c>
      <c r="AK91" s="7" t="s">
        <v>53</v>
      </c>
      <c r="AL91" s="23"/>
    </row>
    <row r="92" spans="4:38" x14ac:dyDescent="0.3">
      <c r="D92"/>
      <c r="E92"/>
      <c r="F92"/>
      <c r="G92"/>
      <c r="H92"/>
      <c r="I92"/>
      <c r="K92"/>
      <c r="L92"/>
      <c r="M92"/>
      <c r="N92"/>
      <c r="O92"/>
      <c r="P92"/>
      <c r="AC92" s="7" t="s">
        <v>198</v>
      </c>
      <c r="AD92" s="23" t="s">
        <v>251</v>
      </c>
      <c r="AE92" s="7">
        <v>0</v>
      </c>
      <c r="AF92" s="7">
        <v>4</v>
      </c>
      <c r="AG92" s="7">
        <v>0</v>
      </c>
      <c r="AH92" s="7">
        <v>8</v>
      </c>
      <c r="AI92" s="7">
        <v>9</v>
      </c>
      <c r="AJ92" s="7">
        <v>4</v>
      </c>
      <c r="AK92" s="7" t="s">
        <v>54</v>
      </c>
      <c r="AL92" s="23"/>
    </row>
    <row r="93" spans="4:38" x14ac:dyDescent="0.3">
      <c r="D93"/>
      <c r="E93"/>
      <c r="F93"/>
      <c r="G93"/>
      <c r="H93"/>
      <c r="I93"/>
      <c r="K93"/>
      <c r="L93"/>
      <c r="M93"/>
      <c r="N93"/>
      <c r="O93"/>
      <c r="P93"/>
      <c r="AC93" s="7" t="s">
        <v>199</v>
      </c>
      <c r="AD93" s="23" t="s">
        <v>252</v>
      </c>
      <c r="AE93" s="7">
        <v>0</v>
      </c>
      <c r="AF93" s="7">
        <v>6</v>
      </c>
      <c r="AG93" s="7">
        <v>0</v>
      </c>
      <c r="AH93" s="7">
        <v>9</v>
      </c>
      <c r="AI93" s="7">
        <v>9</v>
      </c>
      <c r="AJ93" s="7">
        <v>6</v>
      </c>
      <c r="AK93" s="7" t="s">
        <v>55</v>
      </c>
      <c r="AL93" s="23"/>
    </row>
    <row r="94" spans="4:38" x14ac:dyDescent="0.3">
      <c r="D94"/>
      <c r="E94"/>
      <c r="F94"/>
      <c r="G94"/>
      <c r="H94"/>
      <c r="I94"/>
      <c r="K94"/>
      <c r="L94"/>
      <c r="M94"/>
      <c r="N94"/>
      <c r="O94"/>
      <c r="P94"/>
      <c r="AC94" s="7" t="s">
        <v>200</v>
      </c>
      <c r="AD94" s="23" t="s">
        <v>253</v>
      </c>
      <c r="AE94" s="7">
        <v>0</v>
      </c>
      <c r="AF94" s="7">
        <v>8</v>
      </c>
      <c r="AG94" s="7">
        <v>0</v>
      </c>
      <c r="AH94" s="7">
        <v>1</v>
      </c>
      <c r="AI94" s="7">
        <v>9</v>
      </c>
      <c r="AJ94" s="7">
        <v>8</v>
      </c>
      <c r="AK94" s="7" t="s">
        <v>56</v>
      </c>
      <c r="AL94" s="23"/>
    </row>
    <row r="95" spans="4:38" x14ac:dyDescent="0.3">
      <c r="D95"/>
      <c r="E95"/>
      <c r="F95"/>
      <c r="G95"/>
      <c r="H95"/>
      <c r="I95"/>
      <c r="K95"/>
      <c r="L95"/>
      <c r="M95"/>
      <c r="N95"/>
      <c r="O95"/>
      <c r="P95"/>
      <c r="AC95" s="7" t="s">
        <v>201</v>
      </c>
      <c r="AD95" s="23" t="s">
        <v>254</v>
      </c>
      <c r="AE95" s="7">
        <v>1</v>
      </c>
      <c r="AF95" s="7">
        <v>0</v>
      </c>
      <c r="AG95" s="7">
        <v>0</v>
      </c>
      <c r="AH95" s="7">
        <v>2</v>
      </c>
      <c r="AI95" s="7">
        <v>9</v>
      </c>
      <c r="AJ95" s="7">
        <v>9</v>
      </c>
      <c r="AK95" s="7" t="s">
        <v>57</v>
      </c>
      <c r="AL95" s="23"/>
    </row>
    <row r="96" spans="4:38" x14ac:dyDescent="0.3">
      <c r="D96"/>
      <c r="E96"/>
      <c r="F96"/>
      <c r="G96"/>
      <c r="H96"/>
      <c r="I96"/>
      <c r="K96"/>
      <c r="L96"/>
      <c r="M96"/>
      <c r="N96"/>
      <c r="O96"/>
      <c r="P96"/>
      <c r="AC96" s="7" t="s">
        <v>202</v>
      </c>
      <c r="AD96" s="23" t="s">
        <v>255</v>
      </c>
      <c r="AE96" s="7">
        <v>1</v>
      </c>
      <c r="AF96" s="7">
        <v>2</v>
      </c>
      <c r="AG96" s="7">
        <v>0</v>
      </c>
      <c r="AH96" s="7">
        <v>3</v>
      </c>
      <c r="AI96" s="7">
        <v>6</v>
      </c>
      <c r="AJ96" s="7">
        <v>5</v>
      </c>
      <c r="AK96" s="7" t="s">
        <v>58</v>
      </c>
      <c r="AL96" s="23"/>
    </row>
    <row r="97" spans="4:38" x14ac:dyDescent="0.3">
      <c r="D97"/>
      <c r="E97"/>
      <c r="F97"/>
      <c r="G97"/>
      <c r="H97"/>
      <c r="I97"/>
      <c r="K97"/>
      <c r="L97"/>
      <c r="M97"/>
      <c r="N97"/>
      <c r="O97"/>
      <c r="P97"/>
      <c r="AC97" s="7" t="s">
        <v>203</v>
      </c>
      <c r="AD97" s="23" t="s">
        <v>256</v>
      </c>
      <c r="AE97" s="7">
        <v>1</v>
      </c>
      <c r="AF97" s="7">
        <v>4</v>
      </c>
      <c r="AG97" s="7">
        <v>0</v>
      </c>
      <c r="AH97" s="7">
        <v>4</v>
      </c>
      <c r="AI97" s="7">
        <v>3</v>
      </c>
      <c r="AJ97" s="7">
        <v>3</v>
      </c>
      <c r="AK97" s="7" t="s">
        <v>59</v>
      </c>
      <c r="AL97" s="23"/>
    </row>
    <row r="98" spans="4:38" x14ac:dyDescent="0.3">
      <c r="D98"/>
      <c r="E98"/>
      <c r="F98"/>
      <c r="G98"/>
      <c r="H98"/>
      <c r="I98"/>
      <c r="K98"/>
      <c r="L98"/>
      <c r="M98"/>
      <c r="N98"/>
      <c r="O98"/>
      <c r="P98"/>
      <c r="AC98" s="7" t="s">
        <v>204</v>
      </c>
      <c r="AD98" s="23" t="s">
        <v>257</v>
      </c>
      <c r="AE98" s="7">
        <v>1</v>
      </c>
      <c r="AF98" s="7">
        <v>6</v>
      </c>
      <c r="AG98" s="7">
        <v>0</v>
      </c>
      <c r="AH98" s="7">
        <v>5</v>
      </c>
      <c r="AI98" s="7">
        <v>2</v>
      </c>
      <c r="AJ98" s="7">
        <v>9</v>
      </c>
      <c r="AK98" s="7" t="s">
        <v>60</v>
      </c>
      <c r="AL98" s="23"/>
    </row>
    <row r="99" spans="4:38" x14ac:dyDescent="0.3">
      <c r="D99"/>
      <c r="E99"/>
      <c r="F99"/>
      <c r="G99"/>
      <c r="H99"/>
      <c r="I99"/>
      <c r="K99"/>
      <c r="L99"/>
      <c r="M99"/>
      <c r="N99"/>
      <c r="O99"/>
      <c r="P99"/>
      <c r="AC99" s="7" t="s">
        <v>205</v>
      </c>
      <c r="AD99" s="23" t="s">
        <v>258</v>
      </c>
      <c r="AE99" s="7">
        <v>1</v>
      </c>
      <c r="AF99" s="7">
        <v>8</v>
      </c>
      <c r="AG99" s="7">
        <v>0</v>
      </c>
      <c r="AH99" s="7">
        <v>6</v>
      </c>
      <c r="AI99" s="7">
        <v>2</v>
      </c>
      <c r="AJ99" s="7">
        <v>7</v>
      </c>
      <c r="AK99" s="7" t="s">
        <v>61</v>
      </c>
      <c r="AL99" s="23"/>
    </row>
    <row r="100" spans="4:38" x14ac:dyDescent="0.3">
      <c r="D100"/>
      <c r="E100"/>
      <c r="F100"/>
      <c r="G100"/>
      <c r="H100"/>
      <c r="I100"/>
      <c r="K100"/>
      <c r="L100"/>
      <c r="M100"/>
      <c r="N100"/>
      <c r="O100"/>
      <c r="P100"/>
      <c r="AC100" s="7" t="s">
        <v>206</v>
      </c>
      <c r="AD100" s="23" t="s">
        <v>259</v>
      </c>
      <c r="AE100" s="7">
        <v>2</v>
      </c>
      <c r="AF100" s="7">
        <v>0</v>
      </c>
      <c r="AG100" s="7">
        <v>0</v>
      </c>
      <c r="AH100" s="7">
        <v>7</v>
      </c>
      <c r="AI100" s="7">
        <v>2</v>
      </c>
      <c r="AJ100" s="7">
        <v>5</v>
      </c>
      <c r="AK100" s="7" t="s">
        <v>62</v>
      </c>
      <c r="AL100" s="23"/>
    </row>
    <row r="101" spans="4:38" x14ac:dyDescent="0.3">
      <c r="AC101" s="7" t="s">
        <v>207</v>
      </c>
      <c r="AD101" s="23" t="s">
        <v>260</v>
      </c>
      <c r="AE101" s="7">
        <v>2</v>
      </c>
      <c r="AF101" s="7">
        <v>2</v>
      </c>
      <c r="AG101" s="7">
        <v>0</v>
      </c>
      <c r="AH101" s="7">
        <v>8</v>
      </c>
      <c r="AI101" s="7">
        <v>2</v>
      </c>
      <c r="AJ101" s="7">
        <v>3</v>
      </c>
      <c r="AK101" s="7" t="s">
        <v>63</v>
      </c>
      <c r="AL101" s="23"/>
    </row>
    <row r="102" spans="4:38" x14ac:dyDescent="0.3">
      <c r="AC102" s="7" t="s">
        <v>208</v>
      </c>
      <c r="AD102" s="23" t="s">
        <v>261</v>
      </c>
      <c r="AE102" s="7">
        <v>2</v>
      </c>
      <c r="AF102" s="7">
        <v>4</v>
      </c>
      <c r="AG102" s="7">
        <v>0</v>
      </c>
      <c r="AH102" s="7">
        <v>9</v>
      </c>
      <c r="AI102" s="7">
        <v>2</v>
      </c>
      <c r="AJ102" s="7">
        <v>1</v>
      </c>
      <c r="AK102" s="7" t="s">
        <v>64</v>
      </c>
      <c r="AL102" s="23"/>
    </row>
    <row r="103" spans="4:38" x14ac:dyDescent="0.3">
      <c r="AC103" s="7" t="s">
        <v>209</v>
      </c>
      <c r="AD103" s="23" t="s">
        <v>262</v>
      </c>
      <c r="AE103" s="7">
        <v>2</v>
      </c>
      <c r="AF103" s="7">
        <v>6</v>
      </c>
      <c r="AG103" s="7">
        <v>1</v>
      </c>
      <c r="AH103" s="7">
        <v>0</v>
      </c>
      <c r="AI103" s="7">
        <v>1</v>
      </c>
      <c r="AJ103" s="7">
        <v>9</v>
      </c>
      <c r="AK103" s="7" t="s">
        <v>65</v>
      </c>
      <c r="AL103" s="23"/>
    </row>
    <row r="104" spans="4:38" x14ac:dyDescent="0.3">
      <c r="AC104" s="7" t="s">
        <v>210</v>
      </c>
      <c r="AD104" s="23" t="s">
        <v>263</v>
      </c>
      <c r="AE104" s="7">
        <v>2</v>
      </c>
      <c r="AF104" s="7">
        <v>8</v>
      </c>
      <c r="AG104" s="7">
        <v>1</v>
      </c>
      <c r="AH104" s="7">
        <v>1</v>
      </c>
      <c r="AI104" s="7">
        <v>1</v>
      </c>
      <c r="AJ104" s="7">
        <v>7</v>
      </c>
      <c r="AK104" s="7" t="s">
        <v>66</v>
      </c>
      <c r="AL104" s="23"/>
    </row>
    <row r="105" spans="4:38" x14ac:dyDescent="0.3">
      <c r="AC105" s="7" t="s">
        <v>211</v>
      </c>
      <c r="AD105" s="23" t="s">
        <v>264</v>
      </c>
      <c r="AE105" s="7">
        <v>3</v>
      </c>
      <c r="AF105" s="7">
        <v>0</v>
      </c>
      <c r="AG105" s="7">
        <v>1</v>
      </c>
      <c r="AH105" s="7">
        <v>2</v>
      </c>
      <c r="AI105" s="7">
        <v>1</v>
      </c>
      <c r="AJ105" s="7">
        <v>5</v>
      </c>
      <c r="AK105" s="7" t="s">
        <v>67</v>
      </c>
      <c r="AL105" s="23"/>
    </row>
    <row r="106" spans="4:38" x14ac:dyDescent="0.3">
      <c r="AC106" s="7" t="s">
        <v>212</v>
      </c>
      <c r="AD106" s="23" t="s">
        <v>265</v>
      </c>
      <c r="AE106" s="7">
        <v>0</v>
      </c>
      <c r="AF106" s="7">
        <v>2</v>
      </c>
      <c r="AG106" s="7">
        <v>0</v>
      </c>
      <c r="AH106" s="7">
        <v>1</v>
      </c>
      <c r="AI106" s="7">
        <v>1</v>
      </c>
      <c r="AJ106" s="7">
        <v>3</v>
      </c>
      <c r="AK106" s="7" t="s">
        <v>68</v>
      </c>
      <c r="AL106" s="23"/>
    </row>
    <row r="107" spans="4:38" x14ac:dyDescent="0.3">
      <c r="AC107" s="7" t="s">
        <v>213</v>
      </c>
      <c r="AD107" s="23" t="s">
        <v>266</v>
      </c>
      <c r="AE107" s="7">
        <v>0</v>
      </c>
      <c r="AF107" s="7">
        <v>4</v>
      </c>
      <c r="AG107" s="7">
        <v>0</v>
      </c>
      <c r="AH107" s="7">
        <v>2</v>
      </c>
      <c r="AI107" s="7">
        <v>1</v>
      </c>
      <c r="AJ107" s="7">
        <v>1</v>
      </c>
      <c r="AK107" s="7" t="s">
        <v>69</v>
      </c>
      <c r="AL107" s="23"/>
    </row>
    <row r="108" spans="4:38" x14ac:dyDescent="0.3">
      <c r="AC108" s="7" t="s">
        <v>214</v>
      </c>
      <c r="AD108" s="23" t="s">
        <v>267</v>
      </c>
      <c r="AE108" s="7">
        <v>0</v>
      </c>
      <c r="AF108" s="7">
        <v>6</v>
      </c>
      <c r="AG108" s="7">
        <v>0</v>
      </c>
      <c r="AH108" s="7">
        <v>3</v>
      </c>
      <c r="AI108" s="7">
        <v>0</v>
      </c>
      <c r="AJ108" s="7">
        <v>9</v>
      </c>
      <c r="AK108" s="7" t="s">
        <v>70</v>
      </c>
      <c r="AL108" s="23"/>
    </row>
    <row r="109" spans="4:38" x14ac:dyDescent="0.3">
      <c r="AC109" s="7" t="s">
        <v>215</v>
      </c>
      <c r="AD109" s="23" t="s">
        <v>268</v>
      </c>
      <c r="AE109" s="7">
        <v>0</v>
      </c>
      <c r="AF109" s="7">
        <v>8</v>
      </c>
      <c r="AG109" s="7">
        <v>0</v>
      </c>
      <c r="AH109" s="7">
        <v>4</v>
      </c>
      <c r="AI109" s="7">
        <v>0</v>
      </c>
      <c r="AJ109" s="7">
        <v>7</v>
      </c>
      <c r="AK109" s="7" t="s">
        <v>71</v>
      </c>
      <c r="AL109" s="23"/>
    </row>
  </sheetData>
  <conditionalFormatting sqref="D3">
    <cfRule type="expression" dxfId="9" priority="6">
      <formula>$V$7=1</formula>
    </cfRule>
  </conditionalFormatting>
  <conditionalFormatting sqref="E3">
    <cfRule type="expression" dxfId="8" priority="7">
      <formula>$V$8=1</formula>
    </cfRule>
  </conditionalFormatting>
  <conditionalFormatting sqref="F3">
    <cfRule type="expression" dxfId="7" priority="8">
      <formula>$V$9=1</formula>
    </cfRule>
  </conditionalFormatting>
  <conditionalFormatting sqref="G3">
    <cfRule type="expression" dxfId="6" priority="9">
      <formula>$V$10=1</formula>
    </cfRule>
  </conditionalFormatting>
  <conditionalFormatting sqref="H3">
    <cfRule type="expression" dxfId="5" priority="10">
      <formula>$V$11=1</formula>
    </cfRule>
  </conditionalFormatting>
  <conditionalFormatting sqref="D4">
    <cfRule type="expression" dxfId="4" priority="1">
      <formula>$V$12=1</formula>
    </cfRule>
  </conditionalFormatting>
  <conditionalFormatting sqref="E4">
    <cfRule type="expression" dxfId="3" priority="2">
      <formula>$V$13=1</formula>
    </cfRule>
  </conditionalFormatting>
  <conditionalFormatting sqref="F4">
    <cfRule type="expression" dxfId="2" priority="3">
      <formula>$V$14=1</formula>
    </cfRule>
  </conditionalFormatting>
  <conditionalFormatting sqref="G4">
    <cfRule type="expression" dxfId="1" priority="4">
      <formula>$V$15=1</formula>
    </cfRule>
  </conditionalFormatting>
  <conditionalFormatting sqref="H4">
    <cfRule type="expression" dxfId="0" priority="5">
      <formula>$V$16=1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Row">
                <anchor moveWithCells="1" sizeWithCells="1">
                  <from>
                    <xdr:col>2</xdr:col>
                    <xdr:colOff>7620</xdr:colOff>
                    <xdr:row>6</xdr:row>
                    <xdr:rowOff>7620</xdr:rowOff>
                  </from>
                  <to>
                    <xdr:col>2</xdr:col>
                    <xdr:colOff>1013460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StartNewGam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5" name="CheckBtn_8">
              <controlPr defaultSize="0" print="0" autoFill="0" autoPict="0" macro="[0]!CheckRow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6" name="CheckBtn_9">
              <controlPr defaultSize="0" print="0" autoFill="0" autoPict="0" macro="[0]!CheckRow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C215-27A0-4E40-9D12-DFC8C6E1F6A4}">
  <sheetPr codeName="Sheet3"/>
  <dimension ref="B2:E42"/>
  <sheetViews>
    <sheetView workbookViewId="0">
      <selection activeCell="B32" sqref="B32:E42"/>
    </sheetView>
  </sheetViews>
  <sheetFormatPr defaultRowHeight="14.4" x14ac:dyDescent="0.3"/>
  <cols>
    <col min="2" max="2" width="11.21875" bestFit="1" customWidth="1"/>
    <col min="3" max="3" width="23.6640625" bestFit="1" customWidth="1"/>
    <col min="4" max="4" width="61.33203125" bestFit="1" customWidth="1"/>
  </cols>
  <sheetData>
    <row r="2" spans="2:4" x14ac:dyDescent="0.3">
      <c r="B2" s="24" t="s">
        <v>269</v>
      </c>
      <c r="C2" s="24" t="s">
        <v>270</v>
      </c>
      <c r="D2" s="24" t="s">
        <v>271</v>
      </c>
    </row>
    <row r="3" spans="2:4" x14ac:dyDescent="0.3">
      <c r="B3" t="s">
        <v>272</v>
      </c>
      <c r="C3" t="s">
        <v>273</v>
      </c>
      <c r="D3" t="s">
        <v>274</v>
      </c>
    </row>
    <row r="4" spans="2:4" x14ac:dyDescent="0.3">
      <c r="B4" t="s">
        <v>272</v>
      </c>
      <c r="C4" t="s">
        <v>275</v>
      </c>
      <c r="D4" t="s">
        <v>276</v>
      </c>
    </row>
    <row r="5" spans="2:4" x14ac:dyDescent="0.3">
      <c r="B5" t="s">
        <v>272</v>
      </c>
      <c r="C5" t="s">
        <v>277</v>
      </c>
      <c r="D5" t="s">
        <v>278</v>
      </c>
    </row>
    <row r="6" spans="2:4" x14ac:dyDescent="0.3">
      <c r="B6" t="s">
        <v>279</v>
      </c>
      <c r="C6" t="s">
        <v>280</v>
      </c>
      <c r="D6" t="s">
        <v>281</v>
      </c>
    </row>
    <row r="7" spans="2:4" x14ac:dyDescent="0.3">
      <c r="B7" t="s">
        <v>279</v>
      </c>
      <c r="C7" t="s">
        <v>282</v>
      </c>
      <c r="D7" t="s">
        <v>283</v>
      </c>
    </row>
    <row r="8" spans="2:4" x14ac:dyDescent="0.3">
      <c r="B8" t="s">
        <v>279</v>
      </c>
      <c r="C8" t="s">
        <v>284</v>
      </c>
      <c r="D8" t="s">
        <v>285</v>
      </c>
    </row>
    <row r="9" spans="2:4" x14ac:dyDescent="0.3">
      <c r="B9" t="s">
        <v>279</v>
      </c>
      <c r="C9" t="s">
        <v>286</v>
      </c>
      <c r="D9" t="s">
        <v>287</v>
      </c>
    </row>
    <row r="10" spans="2:4" x14ac:dyDescent="0.3">
      <c r="B10" t="s">
        <v>279</v>
      </c>
      <c r="C10" t="s">
        <v>288</v>
      </c>
      <c r="D10" t="s">
        <v>289</v>
      </c>
    </row>
    <row r="11" spans="2:4" x14ac:dyDescent="0.3">
      <c r="B11" t="s">
        <v>290</v>
      </c>
      <c r="C11" t="s">
        <v>291</v>
      </c>
      <c r="D11" t="s">
        <v>292</v>
      </c>
    </row>
    <row r="12" spans="2:4" x14ac:dyDescent="0.3">
      <c r="B12" t="s">
        <v>290</v>
      </c>
      <c r="C12" t="s">
        <v>293</v>
      </c>
      <c r="D12" t="s">
        <v>294</v>
      </c>
    </row>
    <row r="13" spans="2:4" x14ac:dyDescent="0.3">
      <c r="B13" t="s">
        <v>290</v>
      </c>
      <c r="C13" t="s">
        <v>295</v>
      </c>
      <c r="D13" t="s">
        <v>296</v>
      </c>
    </row>
    <row r="14" spans="2:4" x14ac:dyDescent="0.3">
      <c r="B14" t="s">
        <v>290</v>
      </c>
      <c r="C14" t="s">
        <v>297</v>
      </c>
      <c r="D14" t="s">
        <v>298</v>
      </c>
    </row>
    <row r="15" spans="2:4" x14ac:dyDescent="0.3">
      <c r="B15" t="s">
        <v>290</v>
      </c>
      <c r="C15" t="s">
        <v>299</v>
      </c>
      <c r="D15" t="s">
        <v>300</v>
      </c>
    </row>
    <row r="16" spans="2:4" x14ac:dyDescent="0.3">
      <c r="B16" t="s">
        <v>290</v>
      </c>
      <c r="C16" t="s">
        <v>301</v>
      </c>
      <c r="D16" t="s">
        <v>302</v>
      </c>
    </row>
    <row r="17" spans="2:5" x14ac:dyDescent="0.3">
      <c r="B17" t="s">
        <v>290</v>
      </c>
      <c r="C17" t="s">
        <v>303</v>
      </c>
      <c r="D17" t="s">
        <v>304</v>
      </c>
    </row>
    <row r="18" spans="2:5" x14ac:dyDescent="0.3">
      <c r="B18" t="s">
        <v>290</v>
      </c>
      <c r="C18" t="s">
        <v>305</v>
      </c>
      <c r="D18" t="s">
        <v>306</v>
      </c>
    </row>
    <row r="19" spans="2:5" x14ac:dyDescent="0.3">
      <c r="B19" t="s">
        <v>290</v>
      </c>
      <c r="C19" t="s">
        <v>307</v>
      </c>
      <c r="D19" t="s">
        <v>308</v>
      </c>
    </row>
    <row r="20" spans="2:5" x14ac:dyDescent="0.3">
      <c r="B20" t="s">
        <v>290</v>
      </c>
      <c r="C20" t="s">
        <v>309</v>
      </c>
      <c r="D20" t="s">
        <v>310</v>
      </c>
    </row>
    <row r="21" spans="2:5" x14ac:dyDescent="0.3">
      <c r="B21" t="s">
        <v>290</v>
      </c>
      <c r="C21" t="s">
        <v>311</v>
      </c>
      <c r="D21" t="s">
        <v>312</v>
      </c>
    </row>
    <row r="22" spans="2:5" x14ac:dyDescent="0.3">
      <c r="B22" t="s">
        <v>290</v>
      </c>
      <c r="C22" t="s">
        <v>313</v>
      </c>
      <c r="D22" t="s">
        <v>314</v>
      </c>
    </row>
    <row r="23" spans="2:5" x14ac:dyDescent="0.3">
      <c r="B23" t="s">
        <v>315</v>
      </c>
      <c r="C23" t="s">
        <v>316</v>
      </c>
      <c r="D23" t="s">
        <v>317</v>
      </c>
    </row>
    <row r="24" spans="2:5" x14ac:dyDescent="0.3">
      <c r="B24" t="s">
        <v>315</v>
      </c>
      <c r="C24" t="s">
        <v>318</v>
      </c>
      <c r="D24" t="s">
        <v>319</v>
      </c>
    </row>
    <row r="25" spans="2:5" x14ac:dyDescent="0.3">
      <c r="B25" t="s">
        <v>320</v>
      </c>
      <c r="C25" t="s">
        <v>321</v>
      </c>
      <c r="D25" t="s">
        <v>322</v>
      </c>
    </row>
    <row r="26" spans="2:5" x14ac:dyDescent="0.3">
      <c r="B26" t="s">
        <v>323</v>
      </c>
      <c r="C26" t="s">
        <v>324</v>
      </c>
      <c r="D26" t="s">
        <v>325</v>
      </c>
    </row>
    <row r="27" spans="2:5" x14ac:dyDescent="0.3">
      <c r="B27" t="s">
        <v>326</v>
      </c>
      <c r="C27" t="s">
        <v>327</v>
      </c>
      <c r="D27" t="s">
        <v>328</v>
      </c>
    </row>
    <row r="28" spans="2:5" x14ac:dyDescent="0.3">
      <c r="B28" t="s">
        <v>326</v>
      </c>
      <c r="C28" t="s">
        <v>329</v>
      </c>
      <c r="D28" t="s">
        <v>330</v>
      </c>
    </row>
    <row r="29" spans="2:5" x14ac:dyDescent="0.3">
      <c r="B29" t="s">
        <v>326</v>
      </c>
      <c r="C29" t="s">
        <v>331</v>
      </c>
      <c r="D29" t="s">
        <v>332</v>
      </c>
    </row>
    <row r="32" spans="2:5" x14ac:dyDescent="0.3">
      <c r="B32" t="s">
        <v>269</v>
      </c>
      <c r="C32" t="s">
        <v>333</v>
      </c>
      <c r="D32" t="s">
        <v>334</v>
      </c>
      <c r="E32" t="s">
        <v>335</v>
      </c>
    </row>
    <row r="33" spans="2:5" x14ac:dyDescent="0.3">
      <c r="B33" t="s">
        <v>336</v>
      </c>
      <c r="C33" t="s">
        <v>337</v>
      </c>
      <c r="D33" t="s">
        <v>338</v>
      </c>
      <c r="E33" t="s">
        <v>339</v>
      </c>
    </row>
    <row r="34" spans="2:5" x14ac:dyDescent="0.3">
      <c r="B34" t="s">
        <v>336</v>
      </c>
      <c r="C34" t="s">
        <v>340</v>
      </c>
      <c r="D34" t="s">
        <v>338</v>
      </c>
      <c r="E34" t="s">
        <v>339</v>
      </c>
    </row>
    <row r="35" spans="2:5" x14ac:dyDescent="0.3">
      <c r="B35" t="s">
        <v>341</v>
      </c>
      <c r="C35" t="s">
        <v>342</v>
      </c>
      <c r="D35" t="s">
        <v>338</v>
      </c>
      <c r="E35" t="s">
        <v>339</v>
      </c>
    </row>
    <row r="36" spans="2:5" x14ac:dyDescent="0.3">
      <c r="B36" t="s">
        <v>343</v>
      </c>
      <c r="C36" t="s">
        <v>344</v>
      </c>
      <c r="D36" t="s">
        <v>338</v>
      </c>
      <c r="E36" t="s">
        <v>339</v>
      </c>
    </row>
    <row r="37" spans="2:5" x14ac:dyDescent="0.3">
      <c r="B37" t="s">
        <v>345</v>
      </c>
      <c r="C37" t="s">
        <v>346</v>
      </c>
      <c r="D37" t="s">
        <v>338</v>
      </c>
      <c r="E37" t="s">
        <v>339</v>
      </c>
    </row>
    <row r="38" spans="2:5" x14ac:dyDescent="0.3">
      <c r="B38" t="s">
        <v>347</v>
      </c>
      <c r="C38" t="s">
        <v>348</v>
      </c>
      <c r="D38" t="s">
        <v>338</v>
      </c>
      <c r="E38" t="s">
        <v>339</v>
      </c>
    </row>
    <row r="39" spans="2:5" x14ac:dyDescent="0.3">
      <c r="B39" t="s">
        <v>349</v>
      </c>
      <c r="C39" t="s">
        <v>350</v>
      </c>
      <c r="D39" t="s">
        <v>351</v>
      </c>
      <c r="E39" t="s">
        <v>339</v>
      </c>
    </row>
    <row r="40" spans="2:5" x14ac:dyDescent="0.3">
      <c r="B40" t="s">
        <v>352</v>
      </c>
      <c r="C40" t="s">
        <v>353</v>
      </c>
      <c r="D40" t="s">
        <v>338</v>
      </c>
      <c r="E40" t="s">
        <v>339</v>
      </c>
    </row>
    <row r="41" spans="2:5" x14ac:dyDescent="0.3">
      <c r="B41" t="s">
        <v>354</v>
      </c>
      <c r="C41" t="s">
        <v>355</v>
      </c>
      <c r="D41" t="s">
        <v>338</v>
      </c>
      <c r="E41" t="s">
        <v>339</v>
      </c>
    </row>
    <row r="42" spans="2:5" x14ac:dyDescent="0.3">
      <c r="B42" t="s">
        <v>356</v>
      </c>
      <c r="C42" t="s">
        <v>357</v>
      </c>
      <c r="D42" t="s">
        <v>351</v>
      </c>
      <c r="E42" t="s">
        <v>339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E0058-3CD6-491D-84F1-4C989599CCE2}">
  <sheetPr codeName="Sheet4"/>
  <dimension ref="A1:A32"/>
  <sheetViews>
    <sheetView workbookViewId="0">
      <selection activeCell="A3" sqref="A3"/>
    </sheetView>
  </sheetViews>
  <sheetFormatPr defaultRowHeight="14.4" x14ac:dyDescent="0.3"/>
  <sheetData>
    <row r="1" spans="1:1" x14ac:dyDescent="0.3">
      <c r="A1" t="s">
        <v>358</v>
      </c>
    </row>
    <row r="3" spans="1:1" x14ac:dyDescent="0.3">
      <c r="A3" t="s">
        <v>359</v>
      </c>
    </row>
    <row r="5" spans="1:1" x14ac:dyDescent="0.3">
      <c r="A5" t="s">
        <v>360</v>
      </c>
    </row>
    <row r="7" spans="1:1" x14ac:dyDescent="0.3">
      <c r="A7" t="s">
        <v>361</v>
      </c>
    </row>
    <row r="8" spans="1:1" x14ac:dyDescent="0.3">
      <c r="A8" t="s">
        <v>377</v>
      </c>
    </row>
    <row r="9" spans="1:1" x14ac:dyDescent="0.3">
      <c r="A9" t="s">
        <v>362</v>
      </c>
    </row>
    <row r="10" spans="1:1" x14ac:dyDescent="0.3">
      <c r="A10" t="s">
        <v>378</v>
      </c>
    </row>
    <row r="11" spans="1:1" x14ac:dyDescent="0.3">
      <c r="A11" t="s">
        <v>363</v>
      </c>
    </row>
    <row r="12" spans="1:1" x14ac:dyDescent="0.3">
      <c r="A12" t="s">
        <v>364</v>
      </c>
    </row>
    <row r="14" spans="1:1" x14ac:dyDescent="0.3">
      <c r="A14" t="s">
        <v>365</v>
      </c>
    </row>
    <row r="15" spans="1:1" x14ac:dyDescent="0.3">
      <c r="A15" t="s">
        <v>379</v>
      </c>
    </row>
    <row r="16" spans="1:1" x14ac:dyDescent="0.3">
      <c r="A16" t="s">
        <v>366</v>
      </c>
    </row>
    <row r="17" spans="1:1" x14ac:dyDescent="0.3">
      <c r="A17" t="s">
        <v>367</v>
      </c>
    </row>
    <row r="18" spans="1:1" x14ac:dyDescent="0.3">
      <c r="A18" t="s">
        <v>380</v>
      </c>
    </row>
    <row r="19" spans="1:1" x14ac:dyDescent="0.3">
      <c r="A19" t="s">
        <v>368</v>
      </c>
    </row>
    <row r="20" spans="1:1" x14ac:dyDescent="0.3">
      <c r="A20" t="s">
        <v>381</v>
      </c>
    </row>
    <row r="21" spans="1:1" x14ac:dyDescent="0.3">
      <c r="A21" t="s">
        <v>369</v>
      </c>
    </row>
    <row r="23" spans="1:1" x14ac:dyDescent="0.3">
      <c r="A23" t="s">
        <v>370</v>
      </c>
    </row>
    <row r="24" spans="1:1" x14ac:dyDescent="0.3">
      <c r="A24" t="s">
        <v>371</v>
      </c>
    </row>
    <row r="25" spans="1:1" x14ac:dyDescent="0.3">
      <c r="A25" t="s">
        <v>372</v>
      </c>
    </row>
    <row r="26" spans="1:1" x14ac:dyDescent="0.3">
      <c r="A26" t="s">
        <v>373</v>
      </c>
    </row>
    <row r="27" spans="1:1" x14ac:dyDescent="0.3">
      <c r="A27" t="s">
        <v>382</v>
      </c>
    </row>
    <row r="29" spans="1:1" x14ac:dyDescent="0.3">
      <c r="A29" t="s">
        <v>374</v>
      </c>
    </row>
    <row r="30" spans="1:1" x14ac:dyDescent="0.3">
      <c r="A30" t="s">
        <v>383</v>
      </c>
    </row>
    <row r="31" spans="1:1" x14ac:dyDescent="0.3">
      <c r="A31" t="s">
        <v>375</v>
      </c>
    </row>
    <row r="32" spans="1:1" x14ac:dyDescent="0.3">
      <c r="A32" t="s">
        <v>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Numble V2</vt:lpstr>
      <vt:lpstr>Development Plan</vt:lpstr>
      <vt:lpstr>CoPilot Restart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Harvey</dc:creator>
  <cp:lastModifiedBy>Paul Harvey</cp:lastModifiedBy>
  <dcterms:created xsi:type="dcterms:W3CDTF">2025-07-08T08:46:59Z</dcterms:created>
  <dcterms:modified xsi:type="dcterms:W3CDTF">2025-07-14T20:08:21Z</dcterms:modified>
</cp:coreProperties>
</file>